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24000" windowHeight="9630"/>
  </bookViews>
  <sheets>
    <sheet name="Feuile de Match" sheetId="1" r:id="rId1"/>
    <sheet name="BD Joueurs Licence" sheetId="2" r:id="rId2"/>
  </sheets>
  <definedNames>
    <definedName name="_xlnm.Print_Area" localSheetId="0">'Feuile de Match'!$A$1:$BE$53</definedName>
  </definedNames>
  <calcPr calcId="162913"/>
</workbook>
</file>

<file path=xl/calcChain.xml><?xml version="1.0" encoding="utf-8"?>
<calcChain xmlns="http://schemas.openxmlformats.org/spreadsheetml/2006/main">
  <c r="AI5" i="1" l="1"/>
  <c r="P36" i="1"/>
  <c r="P37" i="1"/>
  <c r="P38" i="1"/>
  <c r="P39" i="1"/>
  <c r="P40" i="1"/>
  <c r="P41" i="1"/>
  <c r="P42" i="1"/>
  <c r="P43" i="1"/>
  <c r="P44" i="1"/>
  <c r="P45" i="1"/>
  <c r="P46" i="1"/>
  <c r="P47" i="1"/>
  <c r="P48" i="1"/>
  <c r="P49" i="1"/>
  <c r="P35" i="1"/>
  <c r="B36" i="1"/>
  <c r="B37" i="1"/>
  <c r="B38" i="1"/>
  <c r="B39" i="1"/>
  <c r="B40" i="1"/>
  <c r="B41" i="1"/>
  <c r="B42" i="1"/>
  <c r="B43" i="1"/>
  <c r="B35" i="1"/>
  <c r="P10" i="1"/>
  <c r="P11" i="1"/>
  <c r="P12" i="1"/>
  <c r="P13" i="1"/>
  <c r="P14" i="1"/>
  <c r="P15" i="1"/>
  <c r="P16" i="1"/>
  <c r="P17" i="1"/>
  <c r="P18" i="1"/>
  <c r="P19" i="1"/>
  <c r="P20" i="1"/>
  <c r="P21" i="1"/>
  <c r="P22" i="1"/>
  <c r="P23" i="1"/>
  <c r="P9" i="1"/>
  <c r="B44" i="1"/>
  <c r="B45" i="1"/>
  <c r="B46" i="1"/>
  <c r="B47" i="1"/>
  <c r="B48" i="1"/>
  <c r="B49" i="1"/>
  <c r="B10" i="1"/>
  <c r="B11" i="1"/>
  <c r="B12" i="1"/>
  <c r="B13" i="1"/>
  <c r="B14" i="1"/>
  <c r="B15" i="1"/>
  <c r="B16" i="1"/>
  <c r="B17" i="1"/>
  <c r="B18" i="1"/>
  <c r="B19" i="1"/>
  <c r="B20" i="1"/>
  <c r="B21" i="1"/>
  <c r="B22" i="1"/>
  <c r="B23" i="1"/>
  <c r="B9" i="1"/>
</calcChain>
</file>

<file path=xl/sharedStrings.xml><?xml version="1.0" encoding="utf-8"?>
<sst xmlns="http://schemas.openxmlformats.org/spreadsheetml/2006/main" count="173" uniqueCount="105">
  <si>
    <t>IUF</t>
  </si>
  <si>
    <t>NOMS - PRÉNOMS</t>
  </si>
  <si>
    <t>Équipe :</t>
  </si>
  <si>
    <t>NAISS.</t>
  </si>
  <si>
    <t>X</t>
  </si>
  <si>
    <t>N°</t>
  </si>
  <si>
    <t>TEMPS MORT / PERIODE</t>
  </si>
  <si>
    <t>COMPETITION :</t>
  </si>
  <si>
    <t>LIEU :</t>
  </si>
  <si>
    <t>DATE :</t>
  </si>
  <si>
    <t>SUPPLÉANT</t>
  </si>
  <si>
    <t>BUTS</t>
  </si>
  <si>
    <t>B</t>
  </si>
  <si>
    <t>Bonnets</t>
  </si>
  <si>
    <t>ENTRAÎNEUR</t>
  </si>
  <si>
    <t>ENTRAÎNEUR ADJOINT</t>
  </si>
  <si>
    <t>N</t>
  </si>
  <si>
    <t>RESULTAT
FINAL</t>
  </si>
  <si>
    <t>Code</t>
  </si>
  <si>
    <t>Période</t>
  </si>
  <si>
    <t>RESULTATS</t>
  </si>
  <si>
    <t>1ère PERIODE</t>
  </si>
  <si>
    <t>PENALTY</t>
  </si>
  <si>
    <t>Codes : E= Exclusion / B=But / P=Penalty 
EDA = Exclusion déf. avec rempl.
EDAP=Exclusion déf. Avec rempl.  Après 4min.
A=Accident / R=Réclamation / TM=Temps Mort
CJ€=Carton Jaune(Equipe) / CR=Carton Rouge</t>
  </si>
  <si>
    <t>TEMPS</t>
  </si>
  <si>
    <t>CODE</t>
  </si>
  <si>
    <t>HEURE:</t>
  </si>
  <si>
    <t>SCORE</t>
  </si>
  <si>
    <t>2ème PERIODE</t>
  </si>
  <si>
    <t>3ème PERIODE</t>
  </si>
  <si>
    <t>4ème PERIODE</t>
  </si>
  <si>
    <t>FEDERATION FRANCAISE 
DE NATATION</t>
  </si>
  <si>
    <t>RAPPORT DE MATCH - WATERPOLO</t>
  </si>
  <si>
    <t>IUF N°:……..…..…..</t>
  </si>
  <si>
    <t>IUF N°:…….…...…..</t>
  </si>
  <si>
    <t>JUGE DE BUT :………………………………</t>
  </si>
  <si>
    <t>CHRONO :………..…..………………………</t>
  </si>
  <si>
    <t>30' / 20' :……….….…………………………</t>
  </si>
  <si>
    <t>JUGE DE BUT :.…...…………………………</t>
  </si>
  <si>
    <t>SECRETAIRE :………………………………</t>
  </si>
  <si>
    <t>IUF N°:………..…..…..</t>
  </si>
  <si>
    <t>IUF N°:…….…......…..</t>
  </si>
  <si>
    <t>IUF N°:…….……...…..</t>
  </si>
  <si>
    <t>SIGNATURE</t>
  </si>
  <si>
    <t>DÉLÉGUÉ BLANC</t>
  </si>
  <si>
    <t>DÉLÉGUÉ NOIR</t>
  </si>
  <si>
    <t>ARBITRE</t>
  </si>
  <si>
    <t>DÉLÉGUÉ F.F.N.</t>
  </si>
  <si>
    <t>SIGNATURES DES DÉLÉGUÉS DES CLUBS (concernant les sanctions)</t>
  </si>
  <si>
    <t>NOTE : L'arbitre est tenu d'informer que le fait de contresigner la feuille de match ne vaut pas reconnaissance ou acceptation des
fondements de la faute infligée mais indique seulement que le délégué connait l'existence de la sanction</t>
  </si>
  <si>
    <t>BLANCS</t>
  </si>
  <si>
    <t>NOIRS</t>
  </si>
  <si>
    <t>AA</t>
  </si>
  <si>
    <t>AB</t>
  </si>
  <si>
    <t>AC</t>
  </si>
  <si>
    <t>AD</t>
  </si>
  <si>
    <t>AE</t>
  </si>
  <si>
    <t>AF</t>
  </si>
  <si>
    <t>AG</t>
  </si>
  <si>
    <t>AH</t>
  </si>
  <si>
    <t>AI</t>
  </si>
  <si>
    <t>AJ</t>
  </si>
  <si>
    <t>AK</t>
  </si>
  <si>
    <t>AL</t>
  </si>
  <si>
    <t>AM</t>
  </si>
  <si>
    <t>AN</t>
  </si>
  <si>
    <t>AO</t>
  </si>
  <si>
    <t>BB</t>
  </si>
  <si>
    <t>BC</t>
  </si>
  <si>
    <t>BD</t>
  </si>
  <si>
    <t>BE</t>
  </si>
  <si>
    <t>BF</t>
  </si>
  <si>
    <t>BG</t>
  </si>
  <si>
    <t>BH</t>
  </si>
  <si>
    <t>BI</t>
  </si>
  <si>
    <t>BJ</t>
  </si>
  <si>
    <t>BK</t>
  </si>
  <si>
    <t>BL</t>
  </si>
  <si>
    <t>BM</t>
  </si>
  <si>
    <t>BN</t>
  </si>
  <si>
    <t>BO</t>
  </si>
  <si>
    <t>BA</t>
  </si>
  <si>
    <t>Nom Prénom</t>
  </si>
  <si>
    <t>Licence</t>
  </si>
  <si>
    <t>Naissance</t>
  </si>
  <si>
    <t>EQUIPES CHAMPIONNAT</t>
  </si>
  <si>
    <t>TARBES NAUTIC CLUB</t>
  </si>
  <si>
    <t>CLUB NAUTIQUE PORTESIEN Equipe 1</t>
  </si>
  <si>
    <t>SEA SUN POLO Equipe 2</t>
  </si>
  <si>
    <t>COMPETITION</t>
  </si>
  <si>
    <t>Championnat Régional Sénior</t>
  </si>
  <si>
    <t>Championnat de France N3 Occitanie</t>
  </si>
  <si>
    <t>LIEU</t>
  </si>
  <si>
    <t>TARBES</t>
  </si>
  <si>
    <t>TOULOUSE</t>
  </si>
  <si>
    <t>PORTET-SUR-GARONNE</t>
  </si>
  <si>
    <t>MONTPELLIER</t>
  </si>
  <si>
    <t>ALBI</t>
  </si>
  <si>
    <t>CHRONO GENERAL</t>
  </si>
  <si>
    <t>MONTPELLIER U21</t>
  </si>
  <si>
    <t>Lion</t>
  </si>
  <si>
    <t>Aigle royal</t>
  </si>
  <si>
    <t>Wolf</t>
  </si>
  <si>
    <t>Team Panther</t>
  </si>
  <si>
    <t>RAJA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</si>
</sst>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ss.0;@"/>
  </numFmts>
  <fonts count="19" x14ac:knownFonts="1">
    <font>
      <sz val="11"/>
      <color theme="1"/>
      <name val="Calibri"/>
      <family val="2"/>
      <scheme val="minor"/>
    </font>
    <font>
      <sz val="11"/>
      <color theme="1"/>
      <name val="Arial"/>
      <family val="2"/>
    </font>
    <font>
      <sz val="10"/>
      <color theme="1"/>
      <name val="Arial"/>
      <family val="2"/>
    </font>
    <font>
      <b/>
      <sz val="8"/>
      <color theme="1"/>
      <name val="Arial"/>
      <family val="2"/>
    </font>
    <font>
      <b/>
      <sz val="14"/>
      <color theme="1"/>
      <name val="Arial"/>
      <family val="2"/>
    </font>
    <font>
      <b/>
      <sz val="11"/>
      <color theme="1"/>
      <name val="Arial"/>
      <family val="2"/>
    </font>
    <font>
      <b/>
      <sz val="10"/>
      <color theme="1"/>
      <name val="Arial"/>
      <family val="2"/>
    </font>
    <font>
      <b/>
      <sz val="9"/>
      <color theme="1"/>
      <name val="Arial"/>
      <family val="2"/>
    </font>
    <font>
      <b/>
      <sz val="11"/>
      <name val="Arial"/>
      <family val="2"/>
    </font>
    <font>
      <sz val="9"/>
      <color theme="1"/>
      <name val="Arial"/>
      <family val="2"/>
    </font>
    <font>
      <sz val="8"/>
      <color theme="1"/>
      <name val="Arial"/>
      <family val="2"/>
    </font>
    <font>
      <sz val="6"/>
      <color theme="1"/>
      <name val="Arial"/>
      <family val="2"/>
    </font>
    <font>
      <sz val="7"/>
      <color theme="1"/>
      <name val="Arial"/>
      <family val="2"/>
    </font>
    <font>
      <sz val="4.5"/>
      <color theme="1"/>
      <name val="Arial"/>
      <family val="2"/>
    </font>
    <font>
      <b/>
      <sz val="6"/>
      <color theme="1"/>
      <name val="Arial"/>
      <family val="2"/>
    </font>
    <font>
      <b/>
      <sz val="10"/>
      <color theme="0"/>
      <name val="Arial"/>
      <family val="2"/>
    </font>
    <font>
      <sz val="5"/>
      <color theme="1"/>
      <name val="Arial"/>
      <family val="2"/>
    </font>
    <font>
      <i/>
      <sz val="7"/>
      <color theme="1"/>
      <name val="Arial"/>
      <family val="2"/>
    </font>
    <font>
      <i/>
      <sz val="8"/>
      <color theme="1"/>
      <name val="Arial"/>
      <family val="2"/>
    </font>
  </fonts>
  <fills count="3">
    <fill>
      <patternFill patternType="none"/>
    </fill>
    <fill>
      <patternFill patternType="gray125"/>
    </fill>
    <fill>
      <patternFill patternType="solid">
        <fgColor theme="1"/>
        <bgColor indexed="64"/>
      </patternFill>
    </fill>
  </fills>
  <borders count="4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193">
    <xf numFmtId="0" fontId="0" fillId="0" borderId="0" xfId="0"/>
    <xf numFmtId="0" fontId="0" fillId="0" borderId="2"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9" xfId="0" applyBorder="1"/>
    <xf numFmtId="0" fontId="0" fillId="0" borderId="8" xfId="0" applyBorder="1"/>
    <xf numFmtId="0" fontId="1" fillId="0" borderId="0" xfId="0" applyFont="1"/>
    <xf numFmtId="0" fontId="2" fillId="0" borderId="2" xfId="0" applyFont="1" applyBorder="1" applyAlignment="1">
      <alignment horizontal="left" indent="1"/>
    </xf>
    <xf numFmtId="0" fontId="1" fillId="0" borderId="3" xfId="0" applyFont="1" applyBorder="1"/>
    <xf numFmtId="0" fontId="1" fillId="0" borderId="4" xfId="0" applyFont="1" applyBorder="1"/>
    <xf numFmtId="0" fontId="1" fillId="0" borderId="2" xfId="0" applyFont="1" applyBorder="1"/>
    <xf numFmtId="0" fontId="1" fillId="0" borderId="0" xfId="0" applyFont="1" applyBorder="1"/>
    <xf numFmtId="0" fontId="1" fillId="0" borderId="9" xfId="0" applyFont="1" applyBorder="1"/>
    <xf numFmtId="0" fontId="6" fillId="0" borderId="0" xfId="0" applyFont="1" applyBorder="1" applyAlignment="1">
      <alignment horizontal="right" vertical="center"/>
    </xf>
    <xf numFmtId="0" fontId="1" fillId="0" borderId="10" xfId="0" applyFont="1" applyBorder="1"/>
    <xf numFmtId="0" fontId="2" fillId="0" borderId="8" xfId="0" applyFont="1" applyBorder="1" applyAlignment="1">
      <alignment horizontal="left" indent="1"/>
    </xf>
    <xf numFmtId="0" fontId="1" fillId="0" borderId="0" xfId="0" applyFont="1" applyBorder="1" applyAlignment="1">
      <alignment vertical="center"/>
    </xf>
    <xf numFmtId="0" fontId="1" fillId="0" borderId="0" xfId="0" applyFont="1" applyBorder="1" applyAlignment="1"/>
    <xf numFmtId="0" fontId="7" fillId="0" borderId="0" xfId="0" applyFont="1" applyBorder="1" applyAlignment="1">
      <alignment vertical="center"/>
    </xf>
    <xf numFmtId="0" fontId="1" fillId="0" borderId="0" xfId="0" applyFont="1" applyBorder="1" applyAlignment="1">
      <alignment horizontal="center"/>
    </xf>
    <xf numFmtId="0" fontId="1" fillId="0" borderId="26" xfId="0" applyFont="1" applyBorder="1" applyAlignment="1">
      <alignment horizontal="center"/>
    </xf>
    <xf numFmtId="0" fontId="1" fillId="0" borderId="10" xfId="0" applyFont="1" applyBorder="1" applyAlignment="1">
      <alignment horizontal="center"/>
    </xf>
    <xf numFmtId="0" fontId="1" fillId="0" borderId="28" xfId="0" applyFont="1" applyBorder="1" applyAlignment="1">
      <alignment horizontal="center"/>
    </xf>
    <xf numFmtId="0" fontId="1" fillId="0" borderId="6" xfId="0" applyFont="1" applyBorder="1" applyAlignment="1">
      <alignment horizontal="center"/>
    </xf>
    <xf numFmtId="0" fontId="1" fillId="0" borderId="6" xfId="0" applyFont="1" applyBorder="1" applyAlignment="1">
      <alignment horizontal="center" vertical="center"/>
    </xf>
    <xf numFmtId="0" fontId="1" fillId="0" borderId="6" xfId="0" applyFont="1" applyBorder="1"/>
    <xf numFmtId="0" fontId="1" fillId="0" borderId="7" xfId="0" applyFont="1" applyBorder="1"/>
    <xf numFmtId="0" fontId="1" fillId="0" borderId="0" xfId="0" applyFont="1" applyAlignment="1">
      <alignment horizontal="left" indent="1"/>
    </xf>
    <xf numFmtId="0" fontId="1" fillId="0" borderId="5" xfId="0" applyFont="1" applyBorder="1"/>
    <xf numFmtId="0" fontId="1" fillId="0" borderId="6" xfId="0" applyFont="1" applyBorder="1" applyAlignment="1">
      <alignment horizontal="left" indent="1"/>
    </xf>
    <xf numFmtId="0" fontId="10" fillId="0" borderId="44" xfId="0" applyFont="1" applyBorder="1" applyAlignment="1">
      <alignment horizontal="left" vertical="center"/>
    </xf>
    <xf numFmtId="0" fontId="1" fillId="0" borderId="37" xfId="0" applyFont="1" applyBorder="1"/>
    <xf numFmtId="0" fontId="12" fillId="0" borderId="10" xfId="0" applyFont="1" applyBorder="1" applyAlignment="1">
      <alignment horizontal="center" vertical="center"/>
    </xf>
    <xf numFmtId="0" fontId="1" fillId="0" borderId="26" xfId="0" applyFont="1" applyBorder="1"/>
    <xf numFmtId="0" fontId="1" fillId="0" borderId="28" xfId="0" applyFont="1" applyBorder="1"/>
    <xf numFmtId="0" fontId="1" fillId="0" borderId="38" xfId="0" applyFont="1" applyBorder="1"/>
    <xf numFmtId="0" fontId="1" fillId="0" borderId="14" xfId="0" applyFont="1" applyBorder="1"/>
    <xf numFmtId="0" fontId="1" fillId="0" borderId="15" xfId="0" applyFont="1" applyBorder="1"/>
    <xf numFmtId="0" fontId="10" fillId="0" borderId="10" xfId="0" applyFont="1" applyBorder="1" applyAlignment="1">
      <alignment horizontal="center" vertical="center"/>
    </xf>
    <xf numFmtId="0" fontId="1" fillId="0" borderId="42" xfId="0" applyFont="1" applyBorder="1"/>
    <xf numFmtId="0" fontId="12" fillId="0" borderId="42" xfId="0" applyFont="1" applyBorder="1" applyAlignment="1">
      <alignment horizontal="center" vertical="center"/>
    </xf>
    <xf numFmtId="0" fontId="1" fillId="0" borderId="11" xfId="0" applyFont="1" applyBorder="1"/>
    <xf numFmtId="0" fontId="1" fillId="0" borderId="13" xfId="0" applyFont="1" applyBorder="1"/>
    <xf numFmtId="0" fontId="1" fillId="0" borderId="20" xfId="0" applyFont="1" applyBorder="1"/>
    <xf numFmtId="0" fontId="1" fillId="0" borderId="41" xfId="0" applyFont="1" applyBorder="1"/>
    <xf numFmtId="0" fontId="1" fillId="0" borderId="27" xfId="0" applyFont="1" applyBorder="1"/>
    <xf numFmtId="0" fontId="6" fillId="0" borderId="10" xfId="0" applyFont="1" applyBorder="1" applyAlignment="1">
      <alignment horizontal="center" vertical="center"/>
    </xf>
    <xf numFmtId="0" fontId="1" fillId="0" borderId="46" xfId="0" applyFont="1" applyBorder="1"/>
    <xf numFmtId="0" fontId="12" fillId="0" borderId="46" xfId="0" applyFont="1" applyBorder="1" applyAlignment="1">
      <alignment horizontal="center" vertical="center"/>
    </xf>
    <xf numFmtId="0" fontId="1" fillId="0" borderId="29" xfId="0" applyFont="1" applyBorder="1"/>
    <xf numFmtId="0" fontId="1" fillId="0" borderId="30" xfId="0" applyFont="1" applyBorder="1"/>
    <xf numFmtId="0" fontId="1" fillId="0" borderId="40" xfId="0" applyFont="1" applyBorder="1"/>
    <xf numFmtId="0" fontId="3" fillId="0" borderId="8" xfId="0" applyFont="1" applyBorder="1" applyAlignment="1">
      <alignment horizontal="left" vertical="center"/>
    </xf>
    <xf numFmtId="0" fontId="10" fillId="0" borderId="25" xfId="0" applyFont="1" applyBorder="1" applyAlignment="1">
      <alignment horizontal="center" vertical="center"/>
    </xf>
    <xf numFmtId="0" fontId="10" fillId="0" borderId="44" xfId="0" applyFont="1" applyBorder="1" applyAlignment="1">
      <alignment vertical="center"/>
    </xf>
    <xf numFmtId="0" fontId="10" fillId="0" borderId="8" xfId="0" applyFont="1" applyBorder="1" applyAlignment="1">
      <alignment vertical="center"/>
    </xf>
    <xf numFmtId="0" fontId="10" fillId="0" borderId="0" xfId="0" applyFont="1" applyBorder="1"/>
    <xf numFmtId="0" fontId="10" fillId="0" borderId="9" xfId="0" applyFont="1" applyBorder="1"/>
    <xf numFmtId="0" fontId="16" fillId="0" borderId="25" xfId="0" applyFont="1" applyBorder="1" applyAlignment="1">
      <alignment horizontal="center" vertical="center"/>
    </xf>
    <xf numFmtId="0" fontId="13" fillId="0" borderId="44" xfId="0" applyFont="1" applyBorder="1" applyAlignment="1">
      <alignment horizontal="center" vertical="center"/>
    </xf>
    <xf numFmtId="0" fontId="16" fillId="0" borderId="44" xfId="0" applyFont="1" applyBorder="1" applyAlignment="1">
      <alignment horizontal="center" vertical="center"/>
    </xf>
    <xf numFmtId="0" fontId="2" fillId="0" borderId="10" xfId="0" applyFont="1" applyBorder="1" applyAlignment="1">
      <alignment horizontal="center"/>
    </xf>
    <xf numFmtId="0" fontId="2" fillId="0" borderId="10" xfId="0" applyFont="1" applyBorder="1" applyAlignment="1">
      <alignment horizontal="center" vertical="center"/>
    </xf>
    <xf numFmtId="0" fontId="2" fillId="0" borderId="28" xfId="0" applyFont="1" applyBorder="1" applyAlignment="1">
      <alignment horizontal="center" vertical="center"/>
    </xf>
    <xf numFmtId="0" fontId="1" fillId="0" borderId="36" xfId="0" applyFont="1" applyBorder="1"/>
    <xf numFmtId="0" fontId="1" fillId="0" borderId="28" xfId="0" applyFont="1" applyBorder="1" applyAlignment="1"/>
    <xf numFmtId="0" fontId="1" fillId="0" borderId="0" xfId="0" applyFont="1" applyAlignment="1"/>
    <xf numFmtId="0" fontId="9" fillId="0" borderId="37" xfId="0" applyFont="1" applyBorder="1" applyAlignment="1">
      <alignment horizontal="center" vertical="center"/>
    </xf>
    <xf numFmtId="0" fontId="9" fillId="0" borderId="45" xfId="0" applyFont="1" applyBorder="1" applyAlignment="1">
      <alignment horizontal="center" vertical="center"/>
    </xf>
    <xf numFmtId="0" fontId="9" fillId="0" borderId="10" xfId="0" applyFont="1" applyBorder="1" applyAlignment="1">
      <alignment horizontal="center"/>
    </xf>
    <xf numFmtId="0" fontId="10" fillId="0" borderId="44" xfId="0" applyFont="1" applyBorder="1" applyAlignment="1">
      <alignment horizontal="center" vertical="center"/>
    </xf>
    <xf numFmtId="164" fontId="1" fillId="0" borderId="1" xfId="0" applyNumberFormat="1" applyFont="1" applyBorder="1" applyAlignment="1">
      <alignment horizontal="center" vertical="center"/>
    </xf>
    <xf numFmtId="47" fontId="1" fillId="0" borderId="0" xfId="0" applyNumberFormat="1" applyFont="1"/>
    <xf numFmtId="20" fontId="18" fillId="0" borderId="0" xfId="0" applyNumberFormat="1" applyFont="1" applyBorder="1"/>
    <xf numFmtId="0" fontId="9" fillId="0" borderId="10" xfId="0" applyFont="1" applyBorder="1" applyAlignment="1">
      <alignment horizontal="left" vertical="center"/>
    </xf>
    <xf numFmtId="0" fontId="10" fillId="0" borderId="44" xfId="0" applyFont="1" applyBorder="1" applyAlignment="1">
      <alignment horizontal="center" vertical="center"/>
    </xf>
    <xf numFmtId="0" fontId="1" fillId="0" borderId="31" xfId="0" applyFont="1" applyBorder="1" applyAlignment="1">
      <alignment horizontal="center"/>
    </xf>
    <xf numFmtId="0" fontId="1" fillId="0" borderId="6" xfId="0" applyFont="1" applyBorder="1" applyAlignment="1">
      <alignment horizontal="center"/>
    </xf>
    <xf numFmtId="0" fontId="1" fillId="0" borderId="32" xfId="0" applyFont="1" applyBorder="1" applyAlignment="1">
      <alignment horizontal="center"/>
    </xf>
    <xf numFmtId="0" fontId="1" fillId="0" borderId="26" xfId="0" applyFont="1" applyBorder="1" applyAlignment="1">
      <alignment horizontal="center"/>
    </xf>
    <xf numFmtId="0" fontId="1" fillId="0" borderId="27" xfId="0" applyFont="1" applyBorder="1" applyAlignment="1">
      <alignment horizontal="center"/>
    </xf>
    <xf numFmtId="0" fontId="1" fillId="0" borderId="28" xfId="0" applyFont="1" applyBorder="1" applyAlignment="1">
      <alignment horizontal="center"/>
    </xf>
    <xf numFmtId="0" fontId="1" fillId="0" borderId="33" xfId="0" applyFont="1" applyBorder="1" applyAlignment="1">
      <alignment horizontal="center"/>
    </xf>
    <xf numFmtId="0" fontId="1" fillId="0" borderId="3" xfId="0" applyFont="1" applyBorder="1" applyAlignment="1">
      <alignment horizontal="center"/>
    </xf>
    <xf numFmtId="0" fontId="1" fillId="0" borderId="34" xfId="0" applyFont="1" applyBorder="1" applyAlignment="1">
      <alignment horizontal="center"/>
    </xf>
    <xf numFmtId="0" fontId="2" fillId="0" borderId="5" xfId="0" applyFont="1" applyBorder="1" applyAlignment="1">
      <alignment horizontal="left" vertical="top" indent="1"/>
    </xf>
    <xf numFmtId="0" fontId="2" fillId="0" borderId="6" xfId="0" applyFont="1" applyBorder="1" applyAlignment="1">
      <alignment horizontal="left" vertical="top" indent="1"/>
    </xf>
    <xf numFmtId="0" fontId="12" fillId="0" borderId="26" xfId="0" applyFont="1" applyBorder="1" applyAlignment="1">
      <alignment horizontal="center" vertical="center"/>
    </xf>
    <xf numFmtId="0" fontId="12" fillId="0" borderId="27" xfId="0" applyFont="1" applyBorder="1" applyAlignment="1">
      <alignment horizontal="center" vertical="center"/>
    </xf>
    <xf numFmtId="0" fontId="12" fillId="0" borderId="38" xfId="0" applyFont="1" applyBorder="1" applyAlignment="1">
      <alignment horizontal="center" vertical="center"/>
    </xf>
    <xf numFmtId="0" fontId="12" fillId="0" borderId="33"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4" fillId="0" borderId="8" xfId="0" applyFont="1" applyBorder="1" applyAlignment="1">
      <alignment horizontal="left" vertical="center"/>
    </xf>
    <xf numFmtId="0" fontId="14" fillId="0" borderId="0" xfId="0" applyFont="1" applyBorder="1" applyAlignment="1">
      <alignment horizontal="left" vertical="center"/>
    </xf>
    <xf numFmtId="0" fontId="4" fillId="0" borderId="26" xfId="0" applyFont="1" applyBorder="1" applyAlignment="1">
      <alignment horizontal="center" vertical="center"/>
    </xf>
    <xf numFmtId="0" fontId="4" fillId="0" borderId="28" xfId="0" applyFont="1" applyBorder="1" applyAlignment="1">
      <alignment horizontal="center" vertical="center"/>
    </xf>
    <xf numFmtId="0" fontId="9" fillId="0" borderId="42" xfId="0" applyFont="1" applyBorder="1" applyAlignment="1">
      <alignment horizontal="left" vertical="center"/>
    </xf>
    <xf numFmtId="0" fontId="3" fillId="0" borderId="0" xfId="0" applyFont="1" applyBorder="1" applyAlignment="1">
      <alignment horizontal="left" vertical="center"/>
    </xf>
    <xf numFmtId="0" fontId="12" fillId="0" borderId="31" xfId="0" applyFont="1" applyBorder="1" applyAlignment="1">
      <alignment horizontal="center" vertical="center"/>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5" fillId="0" borderId="8" xfId="0" applyFont="1" applyBorder="1" applyAlignment="1">
      <alignment horizontal="center" vertical="center" wrapText="1"/>
    </xf>
    <xf numFmtId="0" fontId="5" fillId="0" borderId="0" xfId="0" applyFont="1" applyBorder="1" applyAlignment="1">
      <alignment horizontal="center" vertical="center" wrapText="1"/>
    </xf>
    <xf numFmtId="0" fontId="10" fillId="0" borderId="37" xfId="0" applyFont="1" applyBorder="1" applyAlignment="1">
      <alignment horizontal="left" vertical="center"/>
    </xf>
    <xf numFmtId="0" fontId="10" fillId="0" borderId="10" xfId="0" applyFont="1" applyBorder="1" applyAlignment="1">
      <alignment horizontal="left" vertical="center"/>
    </xf>
    <xf numFmtId="0" fontId="3" fillId="0" borderId="41" xfId="0" applyFont="1" applyBorder="1" applyAlignment="1">
      <alignment horizontal="center"/>
    </xf>
    <xf numFmtId="0" fontId="3" fillId="0" borderId="27" xfId="0" applyFont="1" applyBorder="1" applyAlignment="1">
      <alignment horizontal="center"/>
    </xf>
    <xf numFmtId="0" fontId="3" fillId="0" borderId="28" xfId="0" applyFont="1" applyBorder="1" applyAlignment="1">
      <alignment horizontal="center"/>
    </xf>
    <xf numFmtId="0" fontId="1" fillId="0" borderId="10" xfId="0" applyFont="1" applyBorder="1" applyAlignment="1">
      <alignment horizontal="center"/>
    </xf>
    <xf numFmtId="0" fontId="1" fillId="0" borderId="36" xfId="0" applyFont="1" applyBorder="1" applyAlignment="1">
      <alignment horizontal="center"/>
    </xf>
    <xf numFmtId="0" fontId="13" fillId="0" borderId="44" xfId="0" applyFont="1" applyBorder="1" applyAlignment="1">
      <alignment horizontal="center" vertical="center"/>
    </xf>
    <xf numFmtId="0" fontId="13" fillId="0" borderId="22" xfId="0" applyFont="1" applyBorder="1" applyAlignment="1">
      <alignment horizontal="center" vertical="center"/>
    </xf>
    <xf numFmtId="0" fontId="10" fillId="0" borderId="19"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left" vertical="center"/>
    </xf>
    <xf numFmtId="0" fontId="10" fillId="0" borderId="5" xfId="0" applyFont="1" applyBorder="1" applyAlignment="1">
      <alignment horizontal="left" vertical="center"/>
    </xf>
    <xf numFmtId="0" fontId="10" fillId="0" borderId="6" xfId="0" applyFont="1" applyBorder="1" applyAlignment="1">
      <alignment horizontal="left" vertical="center"/>
    </xf>
    <xf numFmtId="0" fontId="10" fillId="0" borderId="32" xfId="0" applyFont="1" applyBorder="1" applyAlignment="1">
      <alignment horizontal="left" vertical="center"/>
    </xf>
    <xf numFmtId="0" fontId="1" fillId="0" borderId="46" xfId="0" applyFont="1" applyBorder="1" applyAlignment="1">
      <alignment horizontal="center"/>
    </xf>
    <xf numFmtId="0" fontId="1" fillId="0" borderId="39" xfId="0" applyFont="1" applyBorder="1" applyAlignment="1">
      <alignment horizontal="center"/>
    </xf>
    <xf numFmtId="0" fontId="6" fillId="0" borderId="10" xfId="0" applyFont="1" applyBorder="1" applyAlignment="1">
      <alignment horizontal="center" vertical="center"/>
    </xf>
    <xf numFmtId="0" fontId="6" fillId="0" borderId="36" xfId="0" applyFont="1" applyBorder="1" applyAlignment="1">
      <alignment horizontal="center" vertical="center"/>
    </xf>
    <xf numFmtId="0" fontId="13" fillId="0" borderId="37" xfId="0" applyFont="1" applyBorder="1" applyAlignment="1">
      <alignment horizontal="left" wrapText="1"/>
    </xf>
    <xf numFmtId="0" fontId="13" fillId="0" borderId="10" xfId="0" applyFont="1" applyBorder="1" applyAlignment="1">
      <alignment horizontal="left"/>
    </xf>
    <xf numFmtId="0" fontId="13" fillId="0" borderId="36" xfId="0" applyFont="1" applyBorder="1" applyAlignment="1">
      <alignment horizontal="left"/>
    </xf>
    <xf numFmtId="0" fontId="13" fillId="0" borderId="37" xfId="0" applyFont="1" applyBorder="1" applyAlignment="1">
      <alignment horizontal="left"/>
    </xf>
    <xf numFmtId="0" fontId="13" fillId="0" borderId="21" xfId="0" applyFont="1" applyBorder="1" applyAlignment="1">
      <alignment horizontal="left"/>
    </xf>
    <xf numFmtId="0" fontId="13" fillId="0" borderId="46" xfId="0" applyFont="1" applyBorder="1" applyAlignment="1">
      <alignment horizontal="left"/>
    </xf>
    <xf numFmtId="0" fontId="13" fillId="0" borderId="39" xfId="0" applyFont="1" applyBorder="1" applyAlignment="1">
      <alignment horizontal="left"/>
    </xf>
    <xf numFmtId="0" fontId="10" fillId="0" borderId="8" xfId="0" applyFont="1" applyBorder="1" applyAlignment="1">
      <alignment horizontal="left" vertical="center"/>
    </xf>
    <xf numFmtId="0" fontId="10" fillId="0" borderId="0" xfId="0" applyFont="1" applyBorder="1" applyAlignment="1">
      <alignment horizontal="left" vertical="center"/>
    </xf>
    <xf numFmtId="0" fontId="10" fillId="0" borderId="0" xfId="0" applyFont="1" applyBorder="1" applyAlignment="1">
      <alignment horizontal="center"/>
    </xf>
    <xf numFmtId="0" fontId="2" fillId="0" borderId="10" xfId="0" applyFont="1" applyBorder="1" applyAlignment="1">
      <alignment horizontal="center" vertical="center"/>
    </xf>
    <xf numFmtId="0" fontId="2" fillId="0" borderId="36" xfId="0" applyFont="1" applyBorder="1" applyAlignment="1">
      <alignment horizontal="center" vertical="center"/>
    </xf>
    <xf numFmtId="0" fontId="15" fillId="2" borderId="2"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15" fillId="2" borderId="0" xfId="0" applyFont="1" applyFill="1" applyBorder="1" applyAlignment="1">
      <alignment horizontal="center" vertical="center" wrapText="1"/>
    </xf>
    <xf numFmtId="0" fontId="15" fillId="2" borderId="9" xfId="0" applyFont="1" applyFill="1" applyBorder="1" applyAlignment="1">
      <alignment horizontal="center" vertical="center" wrapText="1"/>
    </xf>
    <xf numFmtId="0" fontId="12" fillId="0" borderId="5" xfId="0" applyFont="1" applyBorder="1" applyAlignment="1">
      <alignment horizontal="left"/>
    </xf>
    <xf numFmtId="0" fontId="12" fillId="0" borderId="6" xfId="0" applyFont="1" applyBorder="1" applyAlignment="1">
      <alignment horizontal="left"/>
    </xf>
    <xf numFmtId="0" fontId="10" fillId="0" borderId="0" xfId="0" applyFont="1" applyBorder="1" applyAlignment="1">
      <alignment horizontal="left"/>
    </xf>
    <xf numFmtId="0" fontId="10" fillId="0" borderId="9" xfId="0" applyFont="1" applyBorder="1" applyAlignment="1">
      <alignment horizontal="left"/>
    </xf>
    <xf numFmtId="0" fontId="10" fillId="0" borderId="9" xfId="0" applyFont="1" applyBorder="1" applyAlignment="1">
      <alignment horizontal="left" vertical="center"/>
    </xf>
    <xf numFmtId="0" fontId="8" fillId="0" borderId="8" xfId="0" applyFont="1" applyFill="1" applyBorder="1" applyAlignment="1">
      <alignment horizontal="center"/>
    </xf>
    <xf numFmtId="0" fontId="8" fillId="0" borderId="0" xfId="0" applyFont="1" applyFill="1" applyBorder="1" applyAlignment="1">
      <alignment horizontal="center"/>
    </xf>
    <xf numFmtId="0" fontId="8" fillId="0" borderId="9" xfId="0"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1" fillId="0" borderId="13" xfId="0" applyFont="1" applyBorder="1" applyAlignment="1">
      <alignment horizontal="center"/>
    </xf>
    <xf numFmtId="0" fontId="1" fillId="0" borderId="18" xfId="0" applyFont="1" applyBorder="1" applyAlignment="1">
      <alignment horizontal="center"/>
    </xf>
    <xf numFmtId="0" fontId="2" fillId="0" borderId="10" xfId="0" applyFont="1" applyBorder="1" applyAlignment="1">
      <alignment horizontal="center"/>
    </xf>
    <xf numFmtId="0" fontId="11" fillId="0" borderId="11" xfId="0" applyFont="1" applyBorder="1" applyAlignment="1">
      <alignment horizontal="center" vertical="top"/>
    </xf>
    <xf numFmtId="0" fontId="11" fillId="0" borderId="12" xfId="0" applyFont="1" applyBorder="1" applyAlignment="1">
      <alignment horizontal="center" vertical="top"/>
    </xf>
    <xf numFmtId="0" fontId="11" fillId="0" borderId="13" xfId="0" applyFont="1" applyBorder="1" applyAlignment="1">
      <alignment horizontal="center" vertical="top"/>
    </xf>
    <xf numFmtId="0" fontId="11" fillId="0" borderId="14" xfId="0" applyFont="1" applyBorder="1" applyAlignment="1">
      <alignment horizontal="center" vertical="top"/>
    </xf>
    <xf numFmtId="0" fontId="11" fillId="0" borderId="0" xfId="0" applyFont="1" applyBorder="1" applyAlignment="1">
      <alignment horizontal="center" vertical="top"/>
    </xf>
    <xf numFmtId="0" fontId="11" fillId="0" borderId="15" xfId="0" applyFont="1" applyBorder="1" applyAlignment="1">
      <alignment horizontal="center" vertical="top"/>
    </xf>
    <xf numFmtId="0" fontId="11" fillId="0" borderId="16" xfId="0" applyFont="1" applyBorder="1" applyAlignment="1">
      <alignment horizontal="center" vertical="top"/>
    </xf>
    <xf numFmtId="0" fontId="11" fillId="0" borderId="17" xfId="0" applyFont="1" applyBorder="1" applyAlignment="1">
      <alignment horizontal="center" vertical="top"/>
    </xf>
    <xf numFmtId="0" fontId="11" fillId="0" borderId="18" xfId="0" applyFont="1" applyBorder="1" applyAlignment="1">
      <alignment horizontal="center" vertical="top"/>
    </xf>
    <xf numFmtId="0" fontId="12" fillId="0" borderId="2" xfId="0" applyFont="1" applyBorder="1" applyAlignment="1">
      <alignment horizontal="left"/>
    </xf>
    <xf numFmtId="0" fontId="12" fillId="0" borderId="3" xfId="0" applyFont="1" applyBorder="1" applyAlignment="1">
      <alignment horizontal="left"/>
    </xf>
    <xf numFmtId="0" fontId="12" fillId="0" borderId="4" xfId="0" applyFont="1" applyBorder="1" applyAlignment="1">
      <alignment horizontal="left"/>
    </xf>
    <xf numFmtId="0" fontId="12" fillId="0" borderId="8" xfId="0" applyFont="1" applyBorder="1" applyAlignment="1">
      <alignment horizontal="left"/>
    </xf>
    <xf numFmtId="0" fontId="12" fillId="0" borderId="0" xfId="0" applyFont="1" applyBorder="1" applyAlignment="1">
      <alignment horizontal="left"/>
    </xf>
    <xf numFmtId="0" fontId="12" fillId="0" borderId="9" xfId="0" applyFont="1" applyBorder="1" applyAlignment="1">
      <alignment horizontal="left"/>
    </xf>
    <xf numFmtId="0" fontId="12" fillId="0" borderId="7" xfId="0" applyFont="1" applyBorder="1" applyAlignment="1">
      <alignment horizontal="left"/>
    </xf>
    <xf numFmtId="0" fontId="1" fillId="0" borderId="42" xfId="0" applyFont="1" applyBorder="1" applyAlignment="1">
      <alignment horizontal="center"/>
    </xf>
    <xf numFmtId="0" fontId="1" fillId="0" borderId="43" xfId="0" applyFont="1" applyBorder="1" applyAlignment="1">
      <alignment horizontal="center"/>
    </xf>
    <xf numFmtId="0" fontId="1" fillId="0" borderId="0" xfId="0" applyFont="1" applyAlignment="1">
      <alignment horizontal="center"/>
    </xf>
    <xf numFmtId="0" fontId="12" fillId="0" borderId="11" xfId="0" applyFont="1" applyBorder="1" applyAlignment="1">
      <alignment horizontal="left" vertical="center" wrapText="1"/>
    </xf>
    <xf numFmtId="0" fontId="12" fillId="0" borderId="12" xfId="0" applyFont="1" applyBorder="1" applyAlignment="1">
      <alignment horizontal="left" vertical="center"/>
    </xf>
    <xf numFmtId="0" fontId="12" fillId="0" borderId="13" xfId="0" applyFont="1" applyBorder="1" applyAlignment="1">
      <alignment horizontal="left" vertical="center"/>
    </xf>
    <xf numFmtId="0" fontId="12" fillId="0" borderId="16" xfId="0" applyFont="1" applyBorder="1" applyAlignment="1">
      <alignment horizontal="left" vertical="center"/>
    </xf>
    <xf numFmtId="0" fontId="12" fillId="0" borderId="17" xfId="0" applyFont="1" applyBorder="1" applyAlignment="1">
      <alignment horizontal="left" vertical="center"/>
    </xf>
    <xf numFmtId="0" fontId="12" fillId="0" borderId="18" xfId="0" applyFont="1" applyBorder="1" applyAlignment="1">
      <alignment horizontal="left" vertical="center"/>
    </xf>
    <xf numFmtId="0" fontId="10" fillId="0" borderId="35" xfId="0" applyFont="1" applyBorder="1" applyAlignment="1">
      <alignment horizontal="center" vertical="center"/>
    </xf>
    <xf numFmtId="0" fontId="10" fillId="0" borderId="23" xfId="0" applyFont="1" applyBorder="1" applyAlignment="1">
      <alignment horizontal="center" vertical="center"/>
    </xf>
    <xf numFmtId="0" fontId="10" fillId="0" borderId="24" xfId="0" applyFont="1" applyBorder="1" applyAlignment="1">
      <alignment horizontal="center" vertical="center"/>
    </xf>
    <xf numFmtId="0" fontId="3" fillId="0" borderId="0" xfId="0" applyFont="1" applyBorder="1" applyAlignment="1">
      <alignment horizontal="left"/>
    </xf>
    <xf numFmtId="14" fontId="10" fillId="0" borderId="0" xfId="0" applyNumberFormat="1" applyFont="1" applyBorder="1" applyAlignment="1">
      <alignment horizontal="left" vertical="center"/>
    </xf>
    <xf numFmtId="0" fontId="17" fillId="0" borderId="10" xfId="0" applyFont="1" applyBorder="1" applyAlignment="1">
      <alignment horizontal="left"/>
    </xf>
    <xf numFmtId="0" fontId="2" fillId="0" borderId="26" xfId="0" applyFont="1" applyBorder="1" applyAlignment="1">
      <alignment horizontal="left"/>
    </xf>
    <xf numFmtId="0" fontId="2" fillId="0" borderId="27" xfId="0" applyFont="1" applyBorder="1" applyAlignment="1">
      <alignment horizontal="left"/>
    </xf>
    <xf numFmtId="0" fontId="2" fillId="0" borderId="28" xfId="0" applyFont="1" applyBorder="1" applyAlignment="1">
      <alignment horizontal="left"/>
    </xf>
    <xf numFmtId="0" fontId="0" fillId="0" borderId="3" xfId="0"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52</xdr:col>
      <xdr:colOff>182217</xdr:colOff>
      <xdr:row>9</xdr:row>
      <xdr:rowOff>132521</xdr:rowOff>
    </xdr:from>
    <xdr:to>
      <xdr:col>53</xdr:col>
      <xdr:colOff>273326</xdr:colOff>
      <xdr:row>11</xdr:row>
      <xdr:rowOff>149086</xdr:rowOff>
    </xdr:to>
    <xdr:sp macro="[0]!Démarrer" textlink="">
      <xdr:nvSpPr>
        <xdr:cNvPr id="2" name="Rectangle à coins arrondis 1"/>
        <xdr:cNvSpPr/>
      </xdr:nvSpPr>
      <xdr:spPr>
        <a:xfrm>
          <a:off x="11554239" y="1217543"/>
          <a:ext cx="704022" cy="31473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800"/>
            <a:t>DEMARRER</a:t>
          </a:r>
        </a:p>
      </xdr:txBody>
    </xdr:sp>
    <xdr:clientData/>
  </xdr:twoCellAnchor>
  <xdr:twoCellAnchor>
    <xdr:from>
      <xdr:col>55</xdr:col>
      <xdr:colOff>323020</xdr:colOff>
      <xdr:row>10</xdr:row>
      <xdr:rowOff>0</xdr:rowOff>
    </xdr:from>
    <xdr:to>
      <xdr:col>56</xdr:col>
      <xdr:colOff>414129</xdr:colOff>
      <xdr:row>12</xdr:row>
      <xdr:rowOff>16565</xdr:rowOff>
    </xdr:to>
    <xdr:sp macro="[0]!Pause" textlink="">
      <xdr:nvSpPr>
        <xdr:cNvPr id="3" name="Rectangle à coins arrondis 2"/>
        <xdr:cNvSpPr/>
      </xdr:nvSpPr>
      <xdr:spPr>
        <a:xfrm>
          <a:off x="13533781" y="1234109"/>
          <a:ext cx="704022" cy="31473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t>PAUSE</a:t>
          </a:r>
        </a:p>
      </xdr:txBody>
    </xdr:sp>
    <xdr:clientData/>
  </xdr:twoCellAnchor>
  <xdr:twoCellAnchor>
    <xdr:from>
      <xdr:col>53</xdr:col>
      <xdr:colOff>546651</xdr:colOff>
      <xdr:row>18</xdr:row>
      <xdr:rowOff>8283</xdr:rowOff>
    </xdr:from>
    <xdr:to>
      <xdr:col>55</xdr:col>
      <xdr:colOff>24847</xdr:colOff>
      <xdr:row>20</xdr:row>
      <xdr:rowOff>24848</xdr:rowOff>
    </xdr:to>
    <xdr:sp macro="[0]!RAZ" textlink="">
      <xdr:nvSpPr>
        <xdr:cNvPr id="4" name="Rectangle à coins arrondis 3"/>
        <xdr:cNvSpPr/>
      </xdr:nvSpPr>
      <xdr:spPr>
        <a:xfrm>
          <a:off x="12531586" y="2435087"/>
          <a:ext cx="704022" cy="31473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t>RAZ</a:t>
          </a: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B1:BE53"/>
  <sheetViews>
    <sheetView tabSelected="1" view="pageBreakPreview" zoomScale="115" zoomScaleNormal="100" zoomScaleSheetLayoutView="115" workbookViewId="0">
      <selection activeCell="AE3" sqref="AE3"/>
    </sheetView>
  </sheetViews>
  <sheetFormatPr baseColWidth="10" defaultColWidth="9.140625" defaultRowHeight="14.25" x14ac:dyDescent="0.2"/>
  <cols>
    <col min="1" max="1" width="5" style="9" customWidth="1"/>
    <col min="2" max="2" width="7.140625" style="9" bestFit="1" customWidth="1"/>
    <col min="3" max="15" width="2.28515625" style="9" customWidth="1"/>
    <col min="16" max="16" width="5.85546875" style="9" bestFit="1" customWidth="1"/>
    <col min="17" max="17" width="2.140625" style="9" bestFit="1" customWidth="1"/>
    <col min="18" max="18" width="2.140625" style="9" customWidth="1"/>
    <col min="19" max="20" width="2.85546875" style="9" customWidth="1"/>
    <col min="21" max="24" width="1.42578125" style="9" customWidth="1"/>
    <col min="25" max="25" width="0.7109375" style="9" customWidth="1"/>
    <col min="26" max="30" width="3.7109375" style="9" customWidth="1"/>
    <col min="31" max="31" width="3.140625" style="9" customWidth="1"/>
    <col min="32" max="33" width="0.7109375" style="9" customWidth="1"/>
    <col min="34" max="34" width="6.7109375" style="9" customWidth="1"/>
    <col min="35" max="36" width="2.85546875" style="9" customWidth="1"/>
    <col min="37" max="37" width="6.7109375" style="9" customWidth="1"/>
    <col min="38" max="39" width="3.7109375" style="9" customWidth="1"/>
    <col min="40" max="40" width="6.7109375" style="9" customWidth="1"/>
    <col min="41" max="42" width="2.7109375" style="9" customWidth="1"/>
    <col min="43" max="43" width="6.7109375" style="9" customWidth="1"/>
    <col min="44" max="45" width="3.7109375" style="9" customWidth="1"/>
    <col min="46" max="46" width="6.7109375" style="9" customWidth="1"/>
    <col min="47" max="48" width="2.7109375" style="9" customWidth="1"/>
    <col min="49" max="49" width="6.7109375" style="9" customWidth="1"/>
    <col min="50" max="51" width="3.7109375" style="9" customWidth="1"/>
    <col min="52" max="52" width="4.28515625" style="9" customWidth="1"/>
    <col min="53" max="16384" width="9.140625" style="9"/>
  </cols>
  <sheetData>
    <row r="1" spans="2:57" ht="15" customHeight="1" thickBot="1" x14ac:dyDescent="0.25"/>
    <row r="2" spans="2:57" ht="3.75" customHeight="1" x14ac:dyDescent="0.2">
      <c r="B2" s="10"/>
      <c r="C2" s="11"/>
      <c r="D2" s="11"/>
      <c r="E2" s="11"/>
      <c r="F2" s="11"/>
      <c r="G2" s="11"/>
      <c r="H2" s="11"/>
      <c r="I2" s="11"/>
      <c r="J2" s="11"/>
      <c r="K2" s="11"/>
      <c r="L2" s="11"/>
      <c r="M2" s="11"/>
      <c r="N2" s="11"/>
      <c r="O2" s="11"/>
      <c r="P2" s="11"/>
      <c r="Q2" s="11"/>
      <c r="R2" s="11"/>
      <c r="S2" s="11"/>
      <c r="T2" s="11"/>
      <c r="U2" s="11"/>
      <c r="V2" s="11"/>
      <c r="W2" s="11"/>
      <c r="X2" s="12"/>
      <c r="Z2" s="13"/>
      <c r="AA2" s="11"/>
      <c r="AB2" s="11"/>
      <c r="AC2" s="11"/>
      <c r="AD2" s="11"/>
      <c r="AE2" s="11"/>
      <c r="AF2" s="12"/>
      <c r="AH2" s="13"/>
      <c r="AI2" s="11"/>
      <c r="AJ2" s="11"/>
      <c r="AK2" s="11"/>
      <c r="AL2" s="11"/>
      <c r="AM2" s="11"/>
      <c r="AN2" s="11"/>
      <c r="AO2" s="11"/>
      <c r="AP2" s="12"/>
      <c r="AQ2" s="138" t="s">
        <v>31</v>
      </c>
      <c r="AR2" s="139"/>
      <c r="AS2" s="139"/>
      <c r="AT2" s="139"/>
      <c r="AU2" s="139"/>
      <c r="AV2" s="139"/>
      <c r="AW2" s="139"/>
      <c r="AX2" s="139"/>
      <c r="AY2" s="140"/>
    </row>
    <row r="3" spans="2:57" ht="12" customHeight="1" x14ac:dyDescent="0.2">
      <c r="B3" s="55" t="s">
        <v>2</v>
      </c>
      <c r="C3" s="186" t="s">
        <v>100</v>
      </c>
      <c r="D3" s="186"/>
      <c r="E3" s="186"/>
      <c r="F3" s="186"/>
      <c r="G3" s="186"/>
      <c r="H3" s="186"/>
      <c r="I3" s="186"/>
      <c r="J3" s="186"/>
      <c r="K3" s="186"/>
      <c r="L3" s="186"/>
      <c r="M3" s="186"/>
      <c r="N3" s="186"/>
      <c r="O3" s="186"/>
      <c r="P3" s="186"/>
      <c r="Q3" s="186"/>
      <c r="R3" s="14"/>
      <c r="S3" s="101" t="s">
        <v>13</v>
      </c>
      <c r="T3" s="101"/>
      <c r="U3" s="101"/>
      <c r="V3" s="98" t="s">
        <v>12</v>
      </c>
      <c r="W3" s="99"/>
      <c r="X3" s="15"/>
      <c r="Z3" s="105" t="s">
        <v>17</v>
      </c>
      <c r="AA3" s="106"/>
      <c r="AB3" s="106"/>
      <c r="AC3" s="106"/>
      <c r="AD3" s="16" t="s">
        <v>12</v>
      </c>
      <c r="AE3" s="17">
        <v>7</v>
      </c>
      <c r="AF3" s="15"/>
      <c r="AH3" s="133" t="s">
        <v>7</v>
      </c>
      <c r="AI3" s="134"/>
      <c r="AJ3" s="134"/>
      <c r="AK3" s="146" t="s">
        <v>91</v>
      </c>
      <c r="AL3" s="146"/>
      <c r="AM3" s="146"/>
      <c r="AN3" s="146"/>
      <c r="AO3" s="146"/>
      <c r="AP3" s="147"/>
      <c r="AQ3" s="141"/>
      <c r="AR3" s="142"/>
      <c r="AS3" s="142"/>
      <c r="AT3" s="142"/>
      <c r="AU3" s="142"/>
      <c r="AV3" s="142"/>
      <c r="AW3" s="142"/>
      <c r="AX3" s="142"/>
      <c r="AY3" s="143"/>
    </row>
    <row r="4" spans="2:57" ht="12" customHeight="1" x14ac:dyDescent="0.2">
      <c r="B4" s="18"/>
      <c r="C4" s="14"/>
      <c r="D4" s="14"/>
      <c r="E4" s="14"/>
      <c r="F4" s="14"/>
      <c r="G4" s="14"/>
      <c r="H4" s="14"/>
      <c r="I4" s="14"/>
      <c r="J4" s="14"/>
      <c r="K4" s="14"/>
      <c r="L4" s="14"/>
      <c r="M4" s="14"/>
      <c r="N4" s="14"/>
      <c r="O4" s="14"/>
      <c r="P4" s="14"/>
      <c r="Q4" s="14"/>
      <c r="R4" s="14"/>
      <c r="S4" s="14"/>
      <c r="T4" s="14"/>
      <c r="U4" s="14"/>
      <c r="V4" s="14"/>
      <c r="W4" s="14"/>
      <c r="X4" s="15"/>
      <c r="Z4" s="105"/>
      <c r="AA4" s="106"/>
      <c r="AB4" s="106"/>
      <c r="AC4" s="106"/>
      <c r="AD4" s="19"/>
      <c r="AE4" s="20"/>
      <c r="AF4" s="15"/>
      <c r="AH4" s="58" t="s">
        <v>8</v>
      </c>
      <c r="AI4" s="134" t="s">
        <v>97</v>
      </c>
      <c r="AJ4" s="134"/>
      <c r="AK4" s="134"/>
      <c r="AL4" s="134"/>
      <c r="AM4" s="134"/>
      <c r="AN4" s="134"/>
      <c r="AO4" s="134"/>
      <c r="AP4" s="148"/>
      <c r="AQ4" s="141"/>
      <c r="AR4" s="142"/>
      <c r="AS4" s="142"/>
      <c r="AT4" s="142"/>
      <c r="AU4" s="142"/>
      <c r="AV4" s="142"/>
      <c r="AW4" s="142"/>
      <c r="AX4" s="142"/>
      <c r="AY4" s="143"/>
      <c r="BB4" s="176" t="s">
        <v>98</v>
      </c>
      <c r="BC4" s="176"/>
      <c r="BD4" s="176"/>
    </row>
    <row r="5" spans="2:57" ht="12" customHeight="1" x14ac:dyDescent="0.2">
      <c r="B5" s="96" t="s">
        <v>6</v>
      </c>
      <c r="C5" s="97"/>
      <c r="D5" s="97"/>
      <c r="E5" s="97"/>
      <c r="F5" s="97"/>
      <c r="G5" s="21"/>
      <c r="H5" s="22"/>
      <c r="I5" s="23">
        <v>1</v>
      </c>
      <c r="J5" s="24">
        <v>2</v>
      </c>
      <c r="K5" s="24">
        <v>3</v>
      </c>
      <c r="L5" s="25">
        <v>4</v>
      </c>
      <c r="M5" s="14"/>
      <c r="N5" s="14"/>
      <c r="O5" s="14"/>
      <c r="P5" s="14"/>
      <c r="Q5" s="14"/>
      <c r="R5" s="14"/>
      <c r="S5" s="14"/>
      <c r="T5" s="14"/>
      <c r="U5" s="14"/>
      <c r="V5" s="14"/>
      <c r="W5" s="14"/>
      <c r="X5" s="15"/>
      <c r="Z5" s="105"/>
      <c r="AA5" s="106"/>
      <c r="AB5" s="106"/>
      <c r="AC5" s="106"/>
      <c r="AD5" s="16" t="s">
        <v>16</v>
      </c>
      <c r="AE5" s="17">
        <v>6</v>
      </c>
      <c r="AF5" s="15"/>
      <c r="AH5" s="58" t="s">
        <v>9</v>
      </c>
      <c r="AI5" s="187">
        <f ca="1">TODAY()</f>
        <v>46070</v>
      </c>
      <c r="AJ5" s="134"/>
      <c r="AK5" s="134"/>
      <c r="AL5" s="135" t="s">
        <v>26</v>
      </c>
      <c r="AM5" s="135"/>
      <c r="AN5" s="76">
        <v>0.375</v>
      </c>
      <c r="AO5" s="59"/>
      <c r="AP5" s="60"/>
      <c r="AQ5" s="149" t="s">
        <v>32</v>
      </c>
      <c r="AR5" s="150"/>
      <c r="AS5" s="150"/>
      <c r="AT5" s="150"/>
      <c r="AU5" s="150"/>
      <c r="AV5" s="150"/>
      <c r="AW5" s="150"/>
      <c r="AX5" s="150"/>
      <c r="AY5" s="151"/>
      <c r="BB5" s="176"/>
      <c r="BC5" s="176"/>
      <c r="BD5" s="176"/>
    </row>
    <row r="6" spans="2:57" ht="3.75" customHeight="1" thickBot="1" x14ac:dyDescent="0.25">
      <c r="B6" s="88"/>
      <c r="C6" s="89"/>
      <c r="D6" s="89"/>
      <c r="E6" s="89"/>
      <c r="F6" s="89"/>
      <c r="G6" s="89"/>
      <c r="H6" s="26"/>
      <c r="I6" s="27"/>
      <c r="J6" s="27"/>
      <c r="K6" s="27"/>
      <c r="L6" s="27"/>
      <c r="M6" s="28"/>
      <c r="N6" s="28"/>
      <c r="O6" s="28"/>
      <c r="P6" s="28"/>
      <c r="Q6" s="28"/>
      <c r="R6" s="28"/>
      <c r="S6" s="28"/>
      <c r="T6" s="28"/>
      <c r="U6" s="28"/>
      <c r="V6" s="28"/>
      <c r="W6" s="28"/>
      <c r="X6" s="29"/>
      <c r="Y6" s="30"/>
      <c r="Z6" s="31"/>
      <c r="AA6" s="28"/>
      <c r="AB6" s="28"/>
      <c r="AC6" s="28"/>
      <c r="AD6" s="28"/>
      <c r="AE6" s="32"/>
      <c r="AF6" s="29"/>
      <c r="AH6" s="31"/>
      <c r="AI6" s="28"/>
      <c r="AJ6" s="28"/>
      <c r="AK6" s="28"/>
      <c r="AL6" s="28"/>
      <c r="AM6" s="28"/>
      <c r="AN6" s="28"/>
      <c r="AO6" s="28"/>
      <c r="AP6" s="29"/>
      <c r="AQ6" s="152"/>
      <c r="AR6" s="153"/>
      <c r="AS6" s="153"/>
      <c r="AT6" s="153"/>
      <c r="AU6" s="153"/>
      <c r="AV6" s="153"/>
      <c r="AW6" s="153"/>
      <c r="AX6" s="153"/>
      <c r="AY6" s="154"/>
    </row>
    <row r="7" spans="2:57" ht="3.75" customHeight="1" thickBot="1" x14ac:dyDescent="0.25"/>
    <row r="8" spans="2:57" ht="12" customHeight="1" thickBot="1" x14ac:dyDescent="0.25">
      <c r="B8" s="56" t="s">
        <v>0</v>
      </c>
      <c r="C8" s="78" t="s">
        <v>1</v>
      </c>
      <c r="D8" s="78"/>
      <c r="E8" s="78"/>
      <c r="F8" s="78"/>
      <c r="G8" s="78"/>
      <c r="H8" s="78"/>
      <c r="I8" s="78"/>
      <c r="J8" s="78"/>
      <c r="K8" s="78"/>
      <c r="L8" s="78"/>
      <c r="M8" s="78"/>
      <c r="N8" s="78"/>
      <c r="O8" s="78"/>
      <c r="P8" s="57" t="s">
        <v>3</v>
      </c>
      <c r="Q8" s="73" t="s">
        <v>4</v>
      </c>
      <c r="R8" s="33" t="s">
        <v>5</v>
      </c>
      <c r="S8" s="183" t="s">
        <v>11</v>
      </c>
      <c r="T8" s="184"/>
      <c r="U8" s="184"/>
      <c r="V8" s="184"/>
      <c r="W8" s="184"/>
      <c r="X8" s="185"/>
      <c r="Z8" s="61" t="s">
        <v>18</v>
      </c>
      <c r="AA8" s="62" t="s">
        <v>19</v>
      </c>
      <c r="AB8" s="63" t="s">
        <v>18</v>
      </c>
      <c r="AC8" s="62" t="s">
        <v>19</v>
      </c>
      <c r="AD8" s="63" t="s">
        <v>18</v>
      </c>
      <c r="AE8" s="114" t="s">
        <v>19</v>
      </c>
      <c r="AF8" s="115"/>
      <c r="AH8" s="167" t="s">
        <v>39</v>
      </c>
      <c r="AI8" s="168"/>
      <c r="AJ8" s="168"/>
      <c r="AK8" s="168"/>
      <c r="AL8" s="168"/>
      <c r="AM8" s="168"/>
      <c r="AN8" s="168" t="s">
        <v>33</v>
      </c>
      <c r="AO8" s="168"/>
      <c r="AP8" s="169"/>
      <c r="AQ8" s="167" t="s">
        <v>36</v>
      </c>
      <c r="AR8" s="168"/>
      <c r="AS8" s="168"/>
      <c r="AT8" s="168"/>
      <c r="AU8" s="168"/>
      <c r="AV8" s="168"/>
      <c r="AW8" s="168" t="s">
        <v>40</v>
      </c>
      <c r="AX8" s="168"/>
      <c r="AY8" s="169"/>
      <c r="BC8" s="74">
        <v>0</v>
      </c>
    </row>
    <row r="9" spans="2:57" ht="12" customHeight="1" x14ac:dyDescent="0.2">
      <c r="B9" s="70">
        <f>IF(C9="","",VLOOKUP(C9,'BD Joueurs Licence'!$B$3:$C$17,2))</f>
        <v>500</v>
      </c>
      <c r="C9" s="77" t="s">
        <v>56</v>
      </c>
      <c r="D9" s="77"/>
      <c r="E9" s="77"/>
      <c r="F9" s="77"/>
      <c r="G9" s="77"/>
      <c r="H9" s="77"/>
      <c r="I9" s="77"/>
      <c r="J9" s="77"/>
      <c r="K9" s="77"/>
      <c r="L9" s="77"/>
      <c r="M9" s="77"/>
      <c r="N9" s="77"/>
      <c r="O9" s="77"/>
      <c r="P9" s="72">
        <f>IF(C9="","",VLOOKUP(C9,'BD Joueurs Licence'!$B$3:$D$17,3))</f>
        <v>1979</v>
      </c>
      <c r="Q9" s="17"/>
      <c r="R9" s="35">
        <v>1</v>
      </c>
      <c r="S9" s="17"/>
      <c r="T9" s="17"/>
      <c r="U9" s="36"/>
      <c r="V9" s="37"/>
      <c r="W9" s="36"/>
      <c r="X9" s="38"/>
      <c r="Z9" s="34"/>
      <c r="AA9" s="17"/>
      <c r="AB9" s="17"/>
      <c r="AC9" s="17"/>
      <c r="AD9" s="17"/>
      <c r="AE9" s="112"/>
      <c r="AF9" s="113"/>
      <c r="AH9" s="170" t="s">
        <v>39</v>
      </c>
      <c r="AI9" s="171"/>
      <c r="AJ9" s="171"/>
      <c r="AK9" s="171"/>
      <c r="AL9" s="171"/>
      <c r="AM9" s="171"/>
      <c r="AN9" s="171" t="s">
        <v>34</v>
      </c>
      <c r="AO9" s="171"/>
      <c r="AP9" s="172"/>
      <c r="AQ9" s="170" t="s">
        <v>37</v>
      </c>
      <c r="AR9" s="171"/>
      <c r="AS9" s="171"/>
      <c r="AT9" s="171"/>
      <c r="AU9" s="171"/>
      <c r="AV9" s="171"/>
      <c r="AW9" s="171" t="s">
        <v>41</v>
      </c>
      <c r="AX9" s="171"/>
      <c r="AY9" s="172"/>
      <c r="BC9" s="75"/>
    </row>
    <row r="10" spans="2:57" ht="12" customHeight="1" thickBot="1" x14ac:dyDescent="0.25">
      <c r="B10" s="70">
        <f>IF(C10="","",VLOOKUP(C10,'BD Joueurs Licence'!$B$3:$C$17,2))</f>
        <v>700</v>
      </c>
      <c r="C10" s="77" t="s">
        <v>58</v>
      </c>
      <c r="D10" s="77"/>
      <c r="E10" s="77"/>
      <c r="F10" s="77"/>
      <c r="G10" s="77"/>
      <c r="H10" s="77"/>
      <c r="I10" s="77"/>
      <c r="J10" s="77"/>
      <c r="K10" s="77"/>
      <c r="L10" s="77"/>
      <c r="M10" s="77"/>
      <c r="N10" s="77"/>
      <c r="O10" s="77"/>
      <c r="P10" s="72">
        <f>IF(C10="","",VLOOKUP(C10,'BD Joueurs Licence'!$B$3:$D$17,3))</f>
        <v>1981</v>
      </c>
      <c r="Q10" s="17"/>
      <c r="R10" s="35">
        <v>2</v>
      </c>
      <c r="S10" s="17"/>
      <c r="T10" s="17"/>
      <c r="U10" s="39"/>
      <c r="V10" s="40"/>
      <c r="W10" s="39"/>
      <c r="X10" s="15"/>
      <c r="Z10" s="34"/>
      <c r="AA10" s="17"/>
      <c r="AB10" s="17"/>
      <c r="AC10" s="17"/>
      <c r="AD10" s="17"/>
      <c r="AE10" s="112"/>
      <c r="AF10" s="113"/>
      <c r="AH10" s="144" t="s">
        <v>35</v>
      </c>
      <c r="AI10" s="145"/>
      <c r="AJ10" s="145"/>
      <c r="AK10" s="145"/>
      <c r="AL10" s="145"/>
      <c r="AM10" s="145"/>
      <c r="AN10" s="145" t="s">
        <v>34</v>
      </c>
      <c r="AO10" s="145"/>
      <c r="AP10" s="173"/>
      <c r="AQ10" s="144" t="s">
        <v>38</v>
      </c>
      <c r="AR10" s="145"/>
      <c r="AS10" s="145"/>
      <c r="AT10" s="145"/>
      <c r="AU10" s="145"/>
      <c r="AV10" s="145"/>
      <c r="AW10" s="145" t="s">
        <v>42</v>
      </c>
      <c r="AX10" s="145"/>
      <c r="AY10" s="173"/>
    </row>
    <row r="11" spans="2:57" ht="12" customHeight="1" x14ac:dyDescent="0.2">
      <c r="B11" s="70">
        <f>IF(C11="","",VLOOKUP(C11,'BD Joueurs Licence'!$B$3:$C$17,2))</f>
        <v>800</v>
      </c>
      <c r="C11" s="77" t="s">
        <v>59</v>
      </c>
      <c r="D11" s="77"/>
      <c r="E11" s="77"/>
      <c r="F11" s="77"/>
      <c r="G11" s="77"/>
      <c r="H11" s="77"/>
      <c r="I11" s="77"/>
      <c r="J11" s="77"/>
      <c r="K11" s="77"/>
      <c r="L11" s="77"/>
      <c r="M11" s="77"/>
      <c r="N11" s="77"/>
      <c r="O11" s="77"/>
      <c r="P11" s="72">
        <f>IF(C11="","",VLOOKUP(C11,'BD Joueurs Licence'!$B$3:$D$17,3))</f>
        <v>1982</v>
      </c>
      <c r="Q11" s="17"/>
      <c r="R11" s="35">
        <v>3</v>
      </c>
      <c r="S11" s="17"/>
      <c r="T11" s="17"/>
      <c r="U11" s="36"/>
      <c r="V11" s="37"/>
      <c r="W11" s="36"/>
      <c r="X11" s="38"/>
      <c r="Z11" s="34"/>
      <c r="AA11" s="17"/>
      <c r="AB11" s="17"/>
      <c r="AC11" s="17"/>
      <c r="AD11" s="17"/>
      <c r="AE11" s="112"/>
      <c r="AF11" s="113"/>
      <c r="BA11" s="69"/>
      <c r="BC11" s="69"/>
      <c r="BE11" s="69"/>
    </row>
    <row r="12" spans="2:57" ht="12" customHeight="1" x14ac:dyDescent="0.2">
      <c r="B12" s="70">
        <f>IF(C12="","",VLOOKUP(C12,'BD Joueurs Licence'!$B$3:$C$17,2))</f>
        <v>100</v>
      </c>
      <c r="C12" s="77" t="s">
        <v>52</v>
      </c>
      <c r="D12" s="77"/>
      <c r="E12" s="77"/>
      <c r="F12" s="77"/>
      <c r="G12" s="77"/>
      <c r="H12" s="77"/>
      <c r="I12" s="77"/>
      <c r="J12" s="77"/>
      <c r="K12" s="77"/>
      <c r="L12" s="77"/>
      <c r="M12" s="77"/>
      <c r="N12" s="77"/>
      <c r="O12" s="77"/>
      <c r="P12" s="72">
        <f>IF(C12="","",VLOOKUP(C12,'BD Joueurs Licence'!$B$3:$D$17,3))</f>
        <v>1975</v>
      </c>
      <c r="Q12" s="17"/>
      <c r="R12" s="35">
        <v>4</v>
      </c>
      <c r="S12" s="17"/>
      <c r="T12" s="17"/>
      <c r="U12" s="39"/>
      <c r="V12" s="40"/>
      <c r="W12" s="39"/>
      <c r="X12" s="15"/>
      <c r="Z12" s="34"/>
      <c r="AA12" s="17"/>
      <c r="AB12" s="17"/>
      <c r="AC12" s="17"/>
      <c r="AD12" s="17"/>
      <c r="AE12" s="112"/>
      <c r="AF12" s="113"/>
      <c r="AH12" s="65" t="s">
        <v>24</v>
      </c>
      <c r="AI12" s="65" t="s">
        <v>12</v>
      </c>
      <c r="AJ12" s="65" t="s">
        <v>16</v>
      </c>
      <c r="AK12" s="65" t="s">
        <v>25</v>
      </c>
      <c r="AL12" s="136" t="s">
        <v>27</v>
      </c>
      <c r="AM12" s="137"/>
      <c r="AN12" s="66" t="s">
        <v>24</v>
      </c>
      <c r="AO12" s="65" t="s">
        <v>12</v>
      </c>
      <c r="AP12" s="65" t="s">
        <v>16</v>
      </c>
      <c r="AQ12" s="65" t="s">
        <v>25</v>
      </c>
      <c r="AR12" s="136" t="s">
        <v>27</v>
      </c>
      <c r="AS12" s="137"/>
      <c r="AT12" s="66" t="s">
        <v>24</v>
      </c>
      <c r="AU12" s="65" t="s">
        <v>12</v>
      </c>
      <c r="AV12" s="65" t="s">
        <v>16</v>
      </c>
      <c r="AW12" s="65" t="s">
        <v>25</v>
      </c>
      <c r="AX12" s="136" t="s">
        <v>27</v>
      </c>
      <c r="AY12" s="136"/>
      <c r="BA12" s="69"/>
      <c r="BC12" s="69"/>
      <c r="BE12" s="69"/>
    </row>
    <row r="13" spans="2:57" ht="12" customHeight="1" x14ac:dyDescent="0.2">
      <c r="B13" s="70">
        <f>IF(C13="","",VLOOKUP(C13,'BD Joueurs Licence'!$B$3:$C$17,2))</f>
        <v>1500</v>
      </c>
      <c r="C13" s="77" t="s">
        <v>66</v>
      </c>
      <c r="D13" s="77"/>
      <c r="E13" s="77"/>
      <c r="F13" s="77"/>
      <c r="G13" s="77"/>
      <c r="H13" s="77"/>
      <c r="I13" s="77"/>
      <c r="J13" s="77"/>
      <c r="K13" s="77"/>
      <c r="L13" s="77"/>
      <c r="M13" s="77"/>
      <c r="N13" s="77"/>
      <c r="O13" s="77"/>
      <c r="P13" s="72">
        <f>IF(C13="","",VLOOKUP(C13,'BD Joueurs Licence'!$B$3:$D$17,3))</f>
        <v>1989</v>
      </c>
      <c r="Q13" s="17"/>
      <c r="R13" s="35">
        <v>5</v>
      </c>
      <c r="S13" s="17"/>
      <c r="T13" s="17"/>
      <c r="U13" s="36"/>
      <c r="V13" s="37"/>
      <c r="W13" s="36"/>
      <c r="X13" s="38"/>
      <c r="Z13" s="34"/>
      <c r="AA13" s="17"/>
      <c r="AB13" s="17"/>
      <c r="AC13" s="17"/>
      <c r="AD13" s="41"/>
      <c r="AE13" s="112"/>
      <c r="AF13" s="113"/>
      <c r="AH13" s="17"/>
      <c r="AI13" s="17"/>
      <c r="AJ13" s="17"/>
      <c r="AK13" s="17"/>
      <c r="AL13" s="17"/>
      <c r="AM13" s="67"/>
      <c r="AN13" s="37"/>
      <c r="AO13" s="17"/>
      <c r="AP13" s="17"/>
      <c r="AQ13" s="17"/>
      <c r="AR13" s="17"/>
      <c r="AS13" s="67"/>
      <c r="AT13" s="37"/>
      <c r="AU13" s="17"/>
      <c r="AV13" s="17"/>
      <c r="AW13" s="17"/>
      <c r="AX13" s="17"/>
      <c r="AY13" s="17"/>
    </row>
    <row r="14" spans="2:57" ht="12" customHeight="1" x14ac:dyDescent="0.2">
      <c r="B14" s="70">
        <f>IF(C14="","",VLOOKUP(C14,'BD Joueurs Licence'!$B$3:$C$17,2))</f>
        <v>1100</v>
      </c>
      <c r="C14" s="77" t="s">
        <v>62</v>
      </c>
      <c r="D14" s="77"/>
      <c r="E14" s="77"/>
      <c r="F14" s="77"/>
      <c r="G14" s="77"/>
      <c r="H14" s="77"/>
      <c r="I14" s="77"/>
      <c r="J14" s="77"/>
      <c r="K14" s="77"/>
      <c r="L14" s="77"/>
      <c r="M14" s="77"/>
      <c r="N14" s="77"/>
      <c r="O14" s="77"/>
      <c r="P14" s="72">
        <f>IF(C14="","",VLOOKUP(C14,'BD Joueurs Licence'!$B$3:$D$17,3))</f>
        <v>1985</v>
      </c>
      <c r="Q14" s="17"/>
      <c r="R14" s="35">
        <v>6</v>
      </c>
      <c r="S14" s="17"/>
      <c r="T14" s="17"/>
      <c r="U14" s="39"/>
      <c r="V14" s="40"/>
      <c r="W14" s="39"/>
      <c r="X14" s="15"/>
      <c r="Z14" s="34"/>
      <c r="AA14" s="17"/>
      <c r="AB14" s="17"/>
      <c r="AC14" s="17"/>
      <c r="AD14" s="17"/>
      <c r="AE14" s="112"/>
      <c r="AF14" s="113"/>
      <c r="AH14" s="17"/>
      <c r="AI14" s="17"/>
      <c r="AJ14" s="17"/>
      <c r="AK14" s="17"/>
      <c r="AL14" s="17"/>
      <c r="AM14" s="67"/>
      <c r="AN14" s="37"/>
      <c r="AO14" s="17"/>
      <c r="AP14" s="17"/>
      <c r="AQ14" s="17"/>
      <c r="AR14" s="17"/>
      <c r="AS14" s="67"/>
      <c r="AT14" s="37"/>
      <c r="AU14" s="17"/>
      <c r="AV14" s="17"/>
      <c r="AW14" s="17"/>
      <c r="AX14" s="17"/>
      <c r="AY14" s="17"/>
    </row>
    <row r="15" spans="2:57" ht="12" customHeight="1" x14ac:dyDescent="0.2">
      <c r="B15" s="70">
        <f>IF(C15="","",VLOOKUP(C15,'BD Joueurs Licence'!$B$3:$C$17,2))</f>
        <v>300</v>
      </c>
      <c r="C15" s="77" t="s">
        <v>54</v>
      </c>
      <c r="D15" s="77"/>
      <c r="E15" s="77"/>
      <c r="F15" s="77"/>
      <c r="G15" s="77"/>
      <c r="H15" s="77"/>
      <c r="I15" s="77"/>
      <c r="J15" s="77"/>
      <c r="K15" s="77"/>
      <c r="L15" s="77"/>
      <c r="M15" s="77"/>
      <c r="N15" s="77"/>
      <c r="O15" s="77"/>
      <c r="P15" s="72">
        <f>IF(C15="","",VLOOKUP(C15,'BD Joueurs Licence'!$B$3:$D$17,3))</f>
        <v>1977</v>
      </c>
      <c r="Q15" s="17"/>
      <c r="R15" s="35">
        <v>7</v>
      </c>
      <c r="S15" s="17"/>
      <c r="T15" s="17"/>
      <c r="U15" s="36"/>
      <c r="V15" s="37"/>
      <c r="W15" s="36"/>
      <c r="X15" s="38"/>
      <c r="Z15" s="34"/>
      <c r="AA15" s="17"/>
      <c r="AB15" s="17"/>
      <c r="AC15" s="17"/>
      <c r="AD15" s="17"/>
      <c r="AE15" s="112"/>
      <c r="AF15" s="113"/>
      <c r="AH15" s="17"/>
      <c r="AI15" s="17"/>
      <c r="AJ15" s="17"/>
      <c r="AK15" s="17"/>
      <c r="AL15" s="17"/>
      <c r="AM15" s="67"/>
      <c r="AN15" s="37"/>
      <c r="AO15" s="17"/>
      <c r="AP15" s="17"/>
      <c r="AQ15" s="17"/>
      <c r="AR15" s="17"/>
      <c r="AS15" s="67"/>
      <c r="AT15" s="37"/>
      <c r="AU15" s="17"/>
      <c r="AV15" s="17"/>
      <c r="AW15" s="17"/>
      <c r="AX15" s="17"/>
      <c r="AY15" s="17"/>
    </row>
    <row r="16" spans="2:57" ht="12" customHeight="1" x14ac:dyDescent="0.2">
      <c r="B16" s="70">
        <f>IF(C16="","",VLOOKUP(C16,'BD Joueurs Licence'!$B$3:$C$17,2))</f>
        <v>1400</v>
      </c>
      <c r="C16" s="77" t="s">
        <v>65</v>
      </c>
      <c r="D16" s="77"/>
      <c r="E16" s="77"/>
      <c r="F16" s="77"/>
      <c r="G16" s="77"/>
      <c r="H16" s="77"/>
      <c r="I16" s="77"/>
      <c r="J16" s="77"/>
      <c r="K16" s="77"/>
      <c r="L16" s="77"/>
      <c r="M16" s="77"/>
      <c r="N16" s="77"/>
      <c r="O16" s="77"/>
      <c r="P16" s="72">
        <f>IF(C16="","",VLOOKUP(C16,'BD Joueurs Licence'!$B$3:$D$17,3))</f>
        <v>1988</v>
      </c>
      <c r="Q16" s="17"/>
      <c r="R16" s="35">
        <v>8</v>
      </c>
      <c r="S16" s="17"/>
      <c r="T16" s="17"/>
      <c r="U16" s="39"/>
      <c r="V16" s="40"/>
      <c r="W16" s="39"/>
      <c r="X16" s="15"/>
      <c r="Z16" s="34"/>
      <c r="AA16" s="17"/>
      <c r="AB16" s="17"/>
      <c r="AC16" s="17"/>
      <c r="AD16" s="17"/>
      <c r="AE16" s="112"/>
      <c r="AF16" s="113"/>
      <c r="AH16" s="17"/>
      <c r="AI16" s="17"/>
      <c r="AJ16" s="17"/>
      <c r="AK16" s="17"/>
      <c r="AL16" s="17"/>
      <c r="AM16" s="67"/>
      <c r="AN16" s="37"/>
      <c r="AO16" s="17"/>
      <c r="AP16" s="17"/>
      <c r="AQ16" s="17"/>
      <c r="AR16" s="17"/>
      <c r="AS16" s="67"/>
      <c r="AT16" s="37"/>
      <c r="AU16" s="17"/>
      <c r="AV16" s="17"/>
      <c r="AW16" s="17"/>
      <c r="AX16" s="17"/>
      <c r="AY16" s="17"/>
    </row>
    <row r="17" spans="2:51" ht="12" customHeight="1" x14ac:dyDescent="0.2">
      <c r="B17" s="70">
        <f>IF(C17="","",VLOOKUP(C17,'BD Joueurs Licence'!$B$3:$C$17,2))</f>
        <v>900</v>
      </c>
      <c r="C17" s="77" t="s">
        <v>60</v>
      </c>
      <c r="D17" s="77"/>
      <c r="E17" s="77"/>
      <c r="F17" s="77"/>
      <c r="G17" s="77"/>
      <c r="H17" s="77"/>
      <c r="I17" s="77"/>
      <c r="J17" s="77"/>
      <c r="K17" s="77"/>
      <c r="L17" s="77"/>
      <c r="M17" s="77"/>
      <c r="N17" s="77"/>
      <c r="O17" s="77"/>
      <c r="P17" s="72">
        <f>IF(C17="","",VLOOKUP(C17,'BD Joueurs Licence'!$B$3:$D$17,3))</f>
        <v>1983</v>
      </c>
      <c r="Q17" s="17"/>
      <c r="R17" s="35">
        <v>9</v>
      </c>
      <c r="S17" s="17"/>
      <c r="T17" s="17"/>
      <c r="U17" s="36"/>
      <c r="V17" s="37"/>
      <c r="W17" s="36"/>
      <c r="X17" s="38"/>
      <c r="Z17" s="34"/>
      <c r="AA17" s="17"/>
      <c r="AB17" s="17"/>
      <c r="AC17" s="17"/>
      <c r="AD17" s="17"/>
      <c r="AE17" s="112"/>
      <c r="AF17" s="113"/>
      <c r="AH17" s="17"/>
      <c r="AI17" s="17"/>
      <c r="AJ17" s="17"/>
      <c r="AK17" s="17"/>
      <c r="AL17" s="17"/>
      <c r="AM17" s="67"/>
      <c r="AN17" s="37"/>
      <c r="AO17" s="17"/>
      <c r="AP17" s="17"/>
      <c r="AQ17" s="17"/>
      <c r="AR17" s="17"/>
      <c r="AS17" s="67"/>
      <c r="AT17" s="37"/>
      <c r="AU17" s="17"/>
      <c r="AV17" s="17"/>
      <c r="AW17" s="17"/>
      <c r="AX17" s="17"/>
      <c r="AY17" s="17"/>
    </row>
    <row r="18" spans="2:51" ht="12" customHeight="1" x14ac:dyDescent="0.2">
      <c r="B18" s="70" t="str">
        <f>IF(C18="","",VLOOKUP(C18,'BD Joueurs Licence'!$B$3:$C$17,2))</f>
        <v/>
      </c>
      <c r="C18" s="77"/>
      <c r="D18" s="77"/>
      <c r="E18" s="77"/>
      <c r="F18" s="77"/>
      <c r="G18" s="77"/>
      <c r="H18" s="77"/>
      <c r="I18" s="77"/>
      <c r="J18" s="77"/>
      <c r="K18" s="77"/>
      <c r="L18" s="77"/>
      <c r="M18" s="77"/>
      <c r="N18" s="77"/>
      <c r="O18" s="77"/>
      <c r="P18" s="72" t="str">
        <f>IF(C18="","",VLOOKUP(C18,'BD Joueurs Licence'!$B$3:$D$17,3))</f>
        <v/>
      </c>
      <c r="Q18" s="17"/>
      <c r="R18" s="35">
        <v>10</v>
      </c>
      <c r="S18" s="17"/>
      <c r="T18" s="17"/>
      <c r="U18" s="39"/>
      <c r="V18" s="40"/>
      <c r="W18" s="39"/>
      <c r="X18" s="15"/>
      <c r="Z18" s="34"/>
      <c r="AA18" s="17"/>
      <c r="AB18" s="17"/>
      <c r="AC18" s="17"/>
      <c r="AD18" s="17"/>
      <c r="AE18" s="112"/>
      <c r="AF18" s="113"/>
      <c r="AH18" s="17"/>
      <c r="AI18" s="17"/>
      <c r="AJ18" s="17"/>
      <c r="AK18" s="17"/>
      <c r="AL18" s="17"/>
      <c r="AM18" s="67"/>
      <c r="AN18" s="37"/>
      <c r="AO18" s="17"/>
      <c r="AP18" s="17"/>
      <c r="AQ18" s="17"/>
      <c r="AR18" s="17"/>
      <c r="AS18" s="67"/>
      <c r="AT18" s="37"/>
      <c r="AU18" s="17"/>
      <c r="AV18" s="17"/>
      <c r="AW18" s="17"/>
      <c r="AX18" s="17"/>
      <c r="AY18" s="17"/>
    </row>
    <row r="19" spans="2:51" ht="12" customHeight="1" x14ac:dyDescent="0.2">
      <c r="B19" s="70" t="str">
        <f>IF(C19="","",VLOOKUP(C19,'BD Joueurs Licence'!$B$3:$C$17,2))</f>
        <v/>
      </c>
      <c r="C19" s="77"/>
      <c r="D19" s="77"/>
      <c r="E19" s="77"/>
      <c r="F19" s="77"/>
      <c r="G19" s="77"/>
      <c r="H19" s="77"/>
      <c r="I19" s="77"/>
      <c r="J19" s="77"/>
      <c r="K19" s="77"/>
      <c r="L19" s="77"/>
      <c r="M19" s="77"/>
      <c r="N19" s="77"/>
      <c r="O19" s="77"/>
      <c r="P19" s="72" t="str">
        <f>IF(C19="","",VLOOKUP(C19,'BD Joueurs Licence'!$B$3:$D$17,3))</f>
        <v/>
      </c>
      <c r="Q19" s="17"/>
      <c r="R19" s="35">
        <v>11</v>
      </c>
      <c r="S19" s="17"/>
      <c r="T19" s="17"/>
      <c r="U19" s="36"/>
      <c r="V19" s="37"/>
      <c r="W19" s="36"/>
      <c r="X19" s="38"/>
      <c r="Z19" s="34"/>
      <c r="AA19" s="17"/>
      <c r="AB19" s="17"/>
      <c r="AC19" s="17"/>
      <c r="AD19" s="17"/>
      <c r="AE19" s="112"/>
      <c r="AF19" s="113"/>
      <c r="AH19" s="17"/>
      <c r="AI19" s="17"/>
      <c r="AJ19" s="17"/>
      <c r="AK19" s="17"/>
      <c r="AL19" s="17"/>
      <c r="AM19" s="67"/>
      <c r="AN19" s="37"/>
      <c r="AO19" s="17"/>
      <c r="AP19" s="17"/>
      <c r="AQ19" s="17"/>
      <c r="AR19" s="17"/>
      <c r="AS19" s="67"/>
      <c r="AT19" s="37"/>
      <c r="AU19" s="17"/>
      <c r="AV19" s="17"/>
      <c r="AW19" s="17"/>
      <c r="AX19" s="17"/>
      <c r="AY19" s="17"/>
    </row>
    <row r="20" spans="2:51" ht="12" customHeight="1" x14ac:dyDescent="0.2">
      <c r="B20" s="70" t="str">
        <f>IF(C20="","",VLOOKUP(C20,'BD Joueurs Licence'!$B$3:$C$17,2))</f>
        <v/>
      </c>
      <c r="C20" s="77"/>
      <c r="D20" s="77"/>
      <c r="E20" s="77"/>
      <c r="F20" s="77"/>
      <c r="G20" s="77"/>
      <c r="H20" s="77"/>
      <c r="I20" s="77"/>
      <c r="J20" s="77"/>
      <c r="K20" s="77"/>
      <c r="L20" s="77"/>
      <c r="M20" s="77"/>
      <c r="N20" s="77"/>
      <c r="O20" s="77"/>
      <c r="P20" s="72" t="str">
        <f>IF(C20="","",VLOOKUP(C20,'BD Joueurs Licence'!$B$3:$D$17,3))</f>
        <v/>
      </c>
      <c r="Q20" s="17"/>
      <c r="R20" s="35">
        <v>12</v>
      </c>
      <c r="S20" s="17"/>
      <c r="T20" s="17"/>
      <c r="U20" s="39"/>
      <c r="V20" s="40"/>
      <c r="W20" s="39"/>
      <c r="X20" s="15"/>
      <c r="Z20" s="34"/>
      <c r="AA20" s="17"/>
      <c r="AB20" s="17"/>
      <c r="AC20" s="17"/>
      <c r="AD20" s="17"/>
      <c r="AE20" s="112"/>
      <c r="AF20" s="113"/>
      <c r="AH20" s="17"/>
      <c r="AI20" s="17"/>
      <c r="AJ20" s="17"/>
      <c r="AK20" s="17"/>
      <c r="AL20" s="17"/>
      <c r="AM20" s="67"/>
      <c r="AN20" s="37"/>
      <c r="AO20" s="17"/>
      <c r="AP20" s="17"/>
      <c r="AQ20" s="17"/>
      <c r="AR20" s="17"/>
      <c r="AS20" s="67"/>
      <c r="AT20" s="37"/>
      <c r="AU20" s="17"/>
      <c r="AV20" s="17"/>
      <c r="AW20" s="17"/>
      <c r="AX20" s="17"/>
      <c r="AY20" s="17"/>
    </row>
    <row r="21" spans="2:51" ht="12" customHeight="1" x14ac:dyDescent="0.2">
      <c r="B21" s="70" t="str">
        <f>IF(C21="","",VLOOKUP(C21,'BD Joueurs Licence'!$B$3:$C$17,2))</f>
        <v/>
      </c>
      <c r="C21" s="77"/>
      <c r="D21" s="77"/>
      <c r="E21" s="77"/>
      <c r="F21" s="77"/>
      <c r="G21" s="77"/>
      <c r="H21" s="77"/>
      <c r="I21" s="77"/>
      <c r="J21" s="77"/>
      <c r="K21" s="77"/>
      <c r="L21" s="77"/>
      <c r="M21" s="77"/>
      <c r="N21" s="77"/>
      <c r="O21" s="77"/>
      <c r="P21" s="72" t="str">
        <f>IF(C21="","",VLOOKUP(C21,'BD Joueurs Licence'!$B$3:$D$17,3))</f>
        <v/>
      </c>
      <c r="Q21" s="17"/>
      <c r="R21" s="35">
        <v>13</v>
      </c>
      <c r="S21" s="17"/>
      <c r="T21" s="17"/>
      <c r="U21" s="36"/>
      <c r="V21" s="37"/>
      <c r="W21" s="36"/>
      <c r="X21" s="38"/>
      <c r="Z21" s="34"/>
      <c r="AA21" s="17"/>
      <c r="AB21" s="17"/>
      <c r="AC21" s="17"/>
      <c r="AD21" s="17"/>
      <c r="AE21" s="112"/>
      <c r="AF21" s="113"/>
      <c r="AH21" s="17"/>
      <c r="AI21" s="17"/>
      <c r="AJ21" s="17"/>
      <c r="AK21" s="17"/>
      <c r="AL21" s="17"/>
      <c r="AM21" s="67"/>
      <c r="AN21" s="68"/>
      <c r="AO21" s="17"/>
      <c r="AP21" s="17"/>
      <c r="AQ21" s="17"/>
      <c r="AR21" s="17"/>
      <c r="AS21" s="67"/>
      <c r="AT21" s="37"/>
      <c r="AU21" s="17"/>
      <c r="AV21" s="17"/>
      <c r="AW21" s="17"/>
      <c r="AX21" s="17"/>
      <c r="AY21" s="17"/>
    </row>
    <row r="22" spans="2:51" ht="12" customHeight="1" x14ac:dyDescent="0.2">
      <c r="B22" s="70" t="str">
        <f>IF(C22="","",VLOOKUP(C22,'BD Joueurs Licence'!$B$3:$C$17,2))</f>
        <v/>
      </c>
      <c r="C22" s="77"/>
      <c r="D22" s="77"/>
      <c r="E22" s="77"/>
      <c r="F22" s="77"/>
      <c r="G22" s="77"/>
      <c r="H22" s="77"/>
      <c r="I22" s="77"/>
      <c r="J22" s="77"/>
      <c r="K22" s="77"/>
      <c r="L22" s="77"/>
      <c r="M22" s="77"/>
      <c r="N22" s="77"/>
      <c r="O22" s="77"/>
      <c r="P22" s="72" t="str">
        <f>IF(C22="","",VLOOKUP(C22,'BD Joueurs Licence'!$B$3:$D$17,3))</f>
        <v/>
      </c>
      <c r="Q22" s="17"/>
      <c r="R22" s="35">
        <v>14</v>
      </c>
      <c r="S22" s="17"/>
      <c r="T22" s="17"/>
      <c r="U22" s="39"/>
      <c r="V22" s="40"/>
      <c r="W22" s="39"/>
      <c r="X22" s="15"/>
      <c r="Z22" s="34"/>
      <c r="AA22" s="17"/>
      <c r="AB22" s="17"/>
      <c r="AC22" s="17"/>
      <c r="AD22" s="17"/>
      <c r="AE22" s="112"/>
      <c r="AF22" s="113"/>
      <c r="AH22" s="17"/>
      <c r="AI22" s="17"/>
      <c r="AJ22" s="17"/>
      <c r="AK22" s="17"/>
      <c r="AL22" s="17"/>
      <c r="AM22" s="67"/>
      <c r="AN22" s="37"/>
      <c r="AO22" s="17"/>
      <c r="AP22" s="17"/>
      <c r="AQ22" s="17"/>
      <c r="AR22" s="17"/>
      <c r="AS22" s="67"/>
      <c r="AT22" s="37"/>
      <c r="AU22" s="17"/>
      <c r="AV22" s="17"/>
      <c r="AW22" s="17"/>
      <c r="AX22" s="17"/>
      <c r="AY22" s="17"/>
    </row>
    <row r="23" spans="2:51" ht="12" customHeight="1" thickBot="1" x14ac:dyDescent="0.25">
      <c r="B23" s="71" t="str">
        <f>IF(C23="","",VLOOKUP(C23,'BD Joueurs Licence'!$B$3:$C$17,2))</f>
        <v/>
      </c>
      <c r="C23" s="100"/>
      <c r="D23" s="100"/>
      <c r="E23" s="100"/>
      <c r="F23" s="100"/>
      <c r="G23" s="100"/>
      <c r="H23" s="100"/>
      <c r="I23" s="100"/>
      <c r="J23" s="100"/>
      <c r="K23" s="100"/>
      <c r="L23" s="100"/>
      <c r="M23" s="100"/>
      <c r="N23" s="100"/>
      <c r="O23" s="100"/>
      <c r="P23" s="72" t="str">
        <f>IF(C23="","",VLOOKUP(C23,'BD Joueurs Licence'!$B$3:$D$17,3))</f>
        <v/>
      </c>
      <c r="Q23" s="42"/>
      <c r="R23" s="43">
        <v>15</v>
      </c>
      <c r="S23" s="42"/>
      <c r="T23" s="42"/>
      <c r="U23" s="44"/>
      <c r="V23" s="45"/>
      <c r="W23" s="44"/>
      <c r="X23" s="46"/>
      <c r="Z23" s="34"/>
      <c r="AA23" s="17"/>
      <c r="AB23" s="17"/>
      <c r="AC23" s="17"/>
      <c r="AD23" s="17"/>
      <c r="AE23" s="112"/>
      <c r="AF23" s="113"/>
      <c r="AH23" s="17"/>
      <c r="AI23" s="17"/>
      <c r="AJ23" s="17"/>
      <c r="AK23" s="17"/>
      <c r="AL23" s="17"/>
      <c r="AM23" s="67"/>
      <c r="AN23" s="37"/>
      <c r="AO23" s="17"/>
      <c r="AP23" s="17"/>
      <c r="AQ23" s="17"/>
      <c r="AR23" s="17"/>
      <c r="AS23" s="67"/>
      <c r="AT23" s="37"/>
      <c r="AU23" s="17"/>
      <c r="AV23" s="17"/>
      <c r="AW23" s="17"/>
      <c r="AX23" s="17"/>
      <c r="AY23" s="17"/>
    </row>
    <row r="24" spans="2:51" ht="12" customHeight="1" x14ac:dyDescent="0.2">
      <c r="B24" s="13"/>
      <c r="C24" s="85"/>
      <c r="D24" s="86"/>
      <c r="E24" s="86"/>
      <c r="F24" s="86"/>
      <c r="G24" s="86"/>
      <c r="H24" s="86"/>
      <c r="I24" s="86"/>
      <c r="J24" s="86"/>
      <c r="K24" s="86"/>
      <c r="L24" s="86"/>
      <c r="M24" s="86"/>
      <c r="N24" s="86"/>
      <c r="O24" s="87"/>
      <c r="P24" s="11"/>
      <c r="Q24" s="93" t="s">
        <v>14</v>
      </c>
      <c r="R24" s="94"/>
      <c r="S24" s="94"/>
      <c r="T24" s="94"/>
      <c r="U24" s="94"/>
      <c r="V24" s="94"/>
      <c r="W24" s="94"/>
      <c r="X24" s="95"/>
      <c r="Z24" s="34"/>
      <c r="AA24" s="17"/>
      <c r="AB24" s="17"/>
      <c r="AC24" s="17"/>
      <c r="AD24" s="17"/>
      <c r="AE24" s="112"/>
      <c r="AF24" s="113"/>
      <c r="AH24" s="17"/>
      <c r="AI24" s="17"/>
      <c r="AJ24" s="17"/>
      <c r="AK24" s="17"/>
      <c r="AL24" s="17"/>
      <c r="AM24" s="67"/>
      <c r="AN24" s="37"/>
      <c r="AO24" s="17"/>
      <c r="AP24" s="17"/>
      <c r="AQ24" s="17"/>
      <c r="AR24" s="17"/>
      <c r="AS24" s="67"/>
      <c r="AT24" s="37"/>
      <c r="AU24" s="17"/>
      <c r="AV24" s="17"/>
      <c r="AW24" s="17"/>
      <c r="AX24" s="17"/>
      <c r="AY24" s="17"/>
    </row>
    <row r="25" spans="2:51" ht="12" customHeight="1" x14ac:dyDescent="0.2">
      <c r="B25" s="47"/>
      <c r="C25" s="82"/>
      <c r="D25" s="83"/>
      <c r="E25" s="83"/>
      <c r="F25" s="83"/>
      <c r="G25" s="83"/>
      <c r="H25" s="83"/>
      <c r="I25" s="83"/>
      <c r="J25" s="83"/>
      <c r="K25" s="83"/>
      <c r="L25" s="83"/>
      <c r="M25" s="83"/>
      <c r="N25" s="83"/>
      <c r="O25" s="84"/>
      <c r="P25" s="48"/>
      <c r="Q25" s="90" t="s">
        <v>15</v>
      </c>
      <c r="R25" s="91"/>
      <c r="S25" s="91"/>
      <c r="T25" s="91"/>
      <c r="U25" s="91"/>
      <c r="V25" s="91"/>
      <c r="W25" s="91"/>
      <c r="X25" s="92"/>
      <c r="Z25" s="109" t="s">
        <v>20</v>
      </c>
      <c r="AA25" s="110"/>
      <c r="AB25" s="110"/>
      <c r="AC25" s="111"/>
      <c r="AD25" s="49" t="s">
        <v>12</v>
      </c>
      <c r="AE25" s="124" t="s">
        <v>16</v>
      </c>
      <c r="AF25" s="125"/>
      <c r="AH25" s="17"/>
      <c r="AI25" s="17"/>
      <c r="AJ25" s="17"/>
      <c r="AK25" s="17"/>
      <c r="AL25" s="17"/>
      <c r="AM25" s="67"/>
      <c r="AN25" s="37"/>
      <c r="AO25" s="17"/>
      <c r="AP25" s="17"/>
      <c r="AQ25" s="17"/>
      <c r="AR25" s="17"/>
      <c r="AS25" s="67"/>
      <c r="AT25" s="37"/>
      <c r="AU25" s="17"/>
      <c r="AV25" s="17"/>
      <c r="AW25" s="17"/>
      <c r="AX25" s="17"/>
      <c r="AY25" s="17"/>
    </row>
    <row r="26" spans="2:51" ht="12" customHeight="1" thickBot="1" x14ac:dyDescent="0.25">
      <c r="B26" s="31"/>
      <c r="C26" s="79"/>
      <c r="D26" s="80"/>
      <c r="E26" s="80"/>
      <c r="F26" s="80"/>
      <c r="G26" s="80"/>
      <c r="H26" s="80"/>
      <c r="I26" s="80"/>
      <c r="J26" s="80"/>
      <c r="K26" s="80"/>
      <c r="L26" s="80"/>
      <c r="M26" s="80"/>
      <c r="N26" s="80"/>
      <c r="O26" s="81"/>
      <c r="P26" s="28"/>
      <c r="Q26" s="102" t="s">
        <v>10</v>
      </c>
      <c r="R26" s="103"/>
      <c r="S26" s="103"/>
      <c r="T26" s="103"/>
      <c r="U26" s="103"/>
      <c r="V26" s="103"/>
      <c r="W26" s="103"/>
      <c r="X26" s="104"/>
      <c r="Z26" s="107" t="s">
        <v>21</v>
      </c>
      <c r="AA26" s="108"/>
      <c r="AB26" s="108"/>
      <c r="AC26" s="108"/>
      <c r="AD26" s="17"/>
      <c r="AE26" s="112"/>
      <c r="AF26" s="113"/>
      <c r="AH26" s="17"/>
      <c r="AI26" s="17"/>
      <c r="AJ26" s="17"/>
      <c r="AK26" s="17"/>
      <c r="AL26" s="17"/>
      <c r="AM26" s="67"/>
      <c r="AN26" s="37"/>
      <c r="AO26" s="17"/>
      <c r="AP26" s="17"/>
      <c r="AQ26" s="17"/>
      <c r="AR26" s="17"/>
      <c r="AS26" s="67"/>
      <c r="AT26" s="37"/>
      <c r="AU26" s="17"/>
      <c r="AV26" s="17"/>
      <c r="AW26" s="17"/>
      <c r="AX26" s="17"/>
      <c r="AY26" s="17"/>
    </row>
    <row r="27" spans="2:51" ht="8.25" customHeight="1" thickBot="1" x14ac:dyDescent="0.25">
      <c r="Z27" s="107" t="s">
        <v>28</v>
      </c>
      <c r="AA27" s="108"/>
      <c r="AB27" s="108"/>
      <c r="AC27" s="108"/>
      <c r="AD27" s="112"/>
      <c r="AE27" s="112"/>
      <c r="AF27" s="113"/>
      <c r="AH27" s="112"/>
      <c r="AI27" s="112"/>
      <c r="AJ27" s="112"/>
      <c r="AK27" s="112"/>
      <c r="AL27" s="112"/>
      <c r="AM27" s="113"/>
      <c r="AN27" s="84"/>
      <c r="AO27" s="112"/>
      <c r="AP27" s="112"/>
      <c r="AQ27" s="112"/>
      <c r="AR27" s="112"/>
      <c r="AS27" s="113"/>
      <c r="AT27" s="84"/>
      <c r="AU27" s="112"/>
      <c r="AV27" s="112"/>
      <c r="AW27" s="112"/>
      <c r="AX27" s="112"/>
      <c r="AY27" s="112"/>
    </row>
    <row r="28" spans="2:51" ht="3.75" customHeight="1" x14ac:dyDescent="0.2">
      <c r="B28" s="10"/>
      <c r="C28" s="11"/>
      <c r="D28" s="11"/>
      <c r="E28" s="11"/>
      <c r="F28" s="11"/>
      <c r="G28" s="11"/>
      <c r="H28" s="11"/>
      <c r="I28" s="11"/>
      <c r="J28" s="11"/>
      <c r="K28" s="11"/>
      <c r="L28" s="11"/>
      <c r="M28" s="11"/>
      <c r="N28" s="11"/>
      <c r="O28" s="11"/>
      <c r="P28" s="11"/>
      <c r="Q28" s="11"/>
      <c r="R28" s="11"/>
      <c r="S28" s="11"/>
      <c r="T28" s="11"/>
      <c r="U28" s="11"/>
      <c r="V28" s="11"/>
      <c r="W28" s="11"/>
      <c r="X28" s="12"/>
      <c r="Z28" s="107"/>
      <c r="AA28" s="108"/>
      <c r="AB28" s="108"/>
      <c r="AC28" s="108"/>
      <c r="AD28" s="112"/>
      <c r="AE28" s="112"/>
      <c r="AF28" s="113"/>
      <c r="AH28" s="112"/>
      <c r="AI28" s="112"/>
      <c r="AJ28" s="112"/>
      <c r="AK28" s="112"/>
      <c r="AL28" s="112"/>
      <c r="AM28" s="113"/>
      <c r="AN28" s="84"/>
      <c r="AO28" s="112"/>
      <c r="AP28" s="112"/>
      <c r="AQ28" s="112"/>
      <c r="AR28" s="112"/>
      <c r="AS28" s="113"/>
      <c r="AT28" s="84"/>
      <c r="AU28" s="112"/>
      <c r="AV28" s="112"/>
      <c r="AW28" s="112"/>
      <c r="AX28" s="112"/>
      <c r="AY28" s="112"/>
    </row>
    <row r="29" spans="2:51" ht="12" customHeight="1" x14ac:dyDescent="0.2">
      <c r="B29" s="55" t="s">
        <v>2</v>
      </c>
      <c r="C29" s="186" t="s">
        <v>101</v>
      </c>
      <c r="D29" s="186"/>
      <c r="E29" s="186"/>
      <c r="F29" s="186"/>
      <c r="G29" s="186"/>
      <c r="H29" s="186"/>
      <c r="I29" s="186"/>
      <c r="J29" s="186"/>
      <c r="K29" s="186"/>
      <c r="L29" s="186"/>
      <c r="M29" s="186"/>
      <c r="N29" s="186"/>
      <c r="O29" s="186"/>
      <c r="P29" s="186"/>
      <c r="Q29" s="186"/>
      <c r="R29" s="14"/>
      <c r="S29" s="101" t="s">
        <v>13</v>
      </c>
      <c r="T29" s="101"/>
      <c r="U29" s="101"/>
      <c r="V29" s="98" t="s">
        <v>16</v>
      </c>
      <c r="W29" s="99"/>
      <c r="X29" s="15"/>
      <c r="Z29" s="107" t="s">
        <v>29</v>
      </c>
      <c r="AA29" s="108"/>
      <c r="AB29" s="108"/>
      <c r="AC29" s="108"/>
      <c r="AD29" s="17"/>
      <c r="AE29" s="112"/>
      <c r="AF29" s="113"/>
      <c r="AH29" s="17"/>
      <c r="AI29" s="17"/>
      <c r="AJ29" s="17"/>
      <c r="AK29" s="17"/>
      <c r="AL29" s="17"/>
      <c r="AM29" s="67"/>
      <c r="AN29" s="37"/>
      <c r="AO29" s="17"/>
      <c r="AP29" s="17"/>
      <c r="AQ29" s="17"/>
      <c r="AR29" s="17"/>
      <c r="AS29" s="67"/>
      <c r="AT29" s="37"/>
      <c r="AU29" s="17"/>
      <c r="AV29" s="17"/>
      <c r="AW29" s="17"/>
      <c r="AX29" s="17"/>
      <c r="AY29" s="17"/>
    </row>
    <row r="30" spans="2:51" ht="12" customHeight="1" x14ac:dyDescent="0.2">
      <c r="B30" s="18"/>
      <c r="C30" s="14"/>
      <c r="D30" s="14"/>
      <c r="E30" s="14"/>
      <c r="F30" s="14"/>
      <c r="G30" s="14"/>
      <c r="H30" s="14"/>
      <c r="I30" s="14"/>
      <c r="J30" s="14"/>
      <c r="K30" s="14"/>
      <c r="L30" s="14"/>
      <c r="M30" s="14"/>
      <c r="N30" s="14"/>
      <c r="O30" s="14"/>
      <c r="P30" s="14"/>
      <c r="Q30" s="14"/>
      <c r="R30" s="14"/>
      <c r="S30" s="14"/>
      <c r="T30" s="14"/>
      <c r="U30" s="14"/>
      <c r="V30" s="14"/>
      <c r="W30" s="14"/>
      <c r="X30" s="15"/>
      <c r="Z30" s="107" t="s">
        <v>30</v>
      </c>
      <c r="AA30" s="108"/>
      <c r="AB30" s="108"/>
      <c r="AC30" s="108"/>
      <c r="AD30" s="17"/>
      <c r="AE30" s="112"/>
      <c r="AF30" s="113"/>
      <c r="AH30" s="17"/>
      <c r="AI30" s="17"/>
      <c r="AJ30" s="17"/>
      <c r="AK30" s="17"/>
      <c r="AL30" s="17"/>
      <c r="AM30" s="67"/>
      <c r="AN30" s="37"/>
      <c r="AO30" s="17"/>
      <c r="AP30" s="17"/>
      <c r="AQ30" s="17"/>
      <c r="AR30" s="17"/>
      <c r="AS30" s="67"/>
      <c r="AT30" s="37"/>
      <c r="AU30" s="17"/>
      <c r="AV30" s="17"/>
      <c r="AW30" s="17"/>
      <c r="AX30" s="17"/>
      <c r="AY30" s="17"/>
    </row>
    <row r="31" spans="2:51" ht="12" customHeight="1" x14ac:dyDescent="0.2">
      <c r="B31" s="96" t="s">
        <v>6</v>
      </c>
      <c r="C31" s="97"/>
      <c r="D31" s="97"/>
      <c r="E31" s="97"/>
      <c r="F31" s="97"/>
      <c r="G31" s="21"/>
      <c r="H31" s="22"/>
      <c r="I31" s="23">
        <v>1</v>
      </c>
      <c r="J31" s="24">
        <v>2</v>
      </c>
      <c r="K31" s="24">
        <v>3</v>
      </c>
      <c r="L31" s="25">
        <v>4</v>
      </c>
      <c r="M31" s="14"/>
      <c r="N31" s="14"/>
      <c r="O31" s="14"/>
      <c r="P31" s="14"/>
      <c r="Q31" s="14"/>
      <c r="R31" s="14"/>
      <c r="S31" s="14"/>
      <c r="T31" s="14"/>
      <c r="U31" s="14"/>
      <c r="V31" s="14"/>
      <c r="W31" s="14"/>
      <c r="X31" s="15"/>
      <c r="Z31" s="116" t="s">
        <v>22</v>
      </c>
      <c r="AA31" s="117"/>
      <c r="AB31" s="117"/>
      <c r="AC31" s="118"/>
      <c r="AD31" s="112"/>
      <c r="AE31" s="112"/>
      <c r="AF31" s="113"/>
      <c r="AH31" s="17"/>
      <c r="AI31" s="17"/>
      <c r="AJ31" s="17"/>
      <c r="AK31" s="17"/>
      <c r="AL31" s="17"/>
      <c r="AM31" s="67"/>
      <c r="AN31" s="37"/>
      <c r="AO31" s="17"/>
      <c r="AP31" s="17"/>
      <c r="AQ31" s="17"/>
      <c r="AR31" s="17"/>
      <c r="AS31" s="67"/>
      <c r="AT31" s="37"/>
      <c r="AU31" s="17"/>
      <c r="AV31" s="17"/>
      <c r="AW31" s="17"/>
      <c r="AX31" s="17"/>
      <c r="AY31" s="17"/>
    </row>
    <row r="32" spans="2:51" ht="3.75" customHeight="1" thickBot="1" x14ac:dyDescent="0.25">
      <c r="B32" s="88"/>
      <c r="C32" s="89"/>
      <c r="D32" s="89"/>
      <c r="E32" s="89"/>
      <c r="F32" s="89"/>
      <c r="G32" s="89"/>
      <c r="H32" s="26"/>
      <c r="I32" s="27"/>
      <c r="J32" s="27"/>
      <c r="K32" s="27"/>
      <c r="L32" s="27"/>
      <c r="M32" s="28"/>
      <c r="N32" s="28"/>
      <c r="O32" s="28"/>
      <c r="P32" s="28"/>
      <c r="Q32" s="28"/>
      <c r="R32" s="28"/>
      <c r="S32" s="28"/>
      <c r="T32" s="28"/>
      <c r="U32" s="28"/>
      <c r="V32" s="28"/>
      <c r="W32" s="28"/>
      <c r="X32" s="29"/>
      <c r="Z32" s="119"/>
      <c r="AA32" s="120"/>
      <c r="AB32" s="120"/>
      <c r="AC32" s="121"/>
      <c r="AD32" s="122"/>
      <c r="AE32" s="122"/>
      <c r="AF32" s="123"/>
      <c r="AH32" s="174"/>
      <c r="AI32" s="112"/>
      <c r="AJ32" s="112"/>
      <c r="AK32" s="112"/>
      <c r="AL32" s="112"/>
      <c r="AM32" s="113"/>
      <c r="AN32" s="155"/>
      <c r="AO32" s="112"/>
      <c r="AP32" s="112"/>
      <c r="AQ32" s="112"/>
      <c r="AR32" s="112"/>
      <c r="AS32" s="113"/>
      <c r="AT32" s="155"/>
      <c r="AU32" s="112"/>
      <c r="AV32" s="112"/>
      <c r="AW32" s="112"/>
      <c r="AX32" s="112"/>
      <c r="AY32" s="112"/>
    </row>
    <row r="33" spans="2:51" ht="8.25" customHeight="1" thickBot="1" x14ac:dyDescent="0.25">
      <c r="AH33" s="175"/>
      <c r="AI33" s="112"/>
      <c r="AJ33" s="112"/>
      <c r="AK33" s="112"/>
      <c r="AL33" s="112"/>
      <c r="AM33" s="113"/>
      <c r="AN33" s="156"/>
      <c r="AO33" s="112"/>
      <c r="AP33" s="112"/>
      <c r="AQ33" s="112"/>
      <c r="AR33" s="112"/>
      <c r="AS33" s="113"/>
      <c r="AT33" s="156"/>
      <c r="AU33" s="112"/>
      <c r="AV33" s="112"/>
      <c r="AW33" s="112"/>
      <c r="AX33" s="112"/>
      <c r="AY33" s="112"/>
    </row>
    <row r="34" spans="2:51" ht="12" customHeight="1" x14ac:dyDescent="0.2">
      <c r="B34" s="56" t="s">
        <v>0</v>
      </c>
      <c r="C34" s="78" t="s">
        <v>1</v>
      </c>
      <c r="D34" s="78"/>
      <c r="E34" s="78"/>
      <c r="F34" s="78"/>
      <c r="G34" s="78"/>
      <c r="H34" s="78"/>
      <c r="I34" s="78"/>
      <c r="J34" s="78"/>
      <c r="K34" s="78"/>
      <c r="L34" s="78"/>
      <c r="M34" s="78"/>
      <c r="N34" s="78"/>
      <c r="O34" s="78"/>
      <c r="P34" s="57" t="s">
        <v>3</v>
      </c>
      <c r="Q34" s="73" t="s">
        <v>4</v>
      </c>
      <c r="R34" s="33" t="s">
        <v>5</v>
      </c>
      <c r="S34" s="183" t="s">
        <v>11</v>
      </c>
      <c r="T34" s="184"/>
      <c r="U34" s="184"/>
      <c r="V34" s="184"/>
      <c r="W34" s="184"/>
      <c r="X34" s="185"/>
      <c r="Z34" s="61" t="s">
        <v>18</v>
      </c>
      <c r="AA34" s="62" t="s">
        <v>19</v>
      </c>
      <c r="AB34" s="63" t="s">
        <v>18</v>
      </c>
      <c r="AC34" s="62" t="s">
        <v>19</v>
      </c>
      <c r="AD34" s="63" t="s">
        <v>18</v>
      </c>
      <c r="AE34" s="114" t="s">
        <v>19</v>
      </c>
      <c r="AF34" s="115"/>
      <c r="AH34" s="17"/>
      <c r="AI34" s="17"/>
      <c r="AJ34" s="17"/>
      <c r="AK34" s="17"/>
      <c r="AL34" s="17"/>
      <c r="AM34" s="67"/>
      <c r="AN34" s="37"/>
      <c r="AO34" s="17"/>
      <c r="AP34" s="17"/>
      <c r="AQ34" s="17"/>
      <c r="AR34" s="17"/>
      <c r="AS34" s="67"/>
      <c r="AT34" s="37"/>
      <c r="AU34" s="17"/>
      <c r="AV34" s="17"/>
      <c r="AW34" s="17"/>
      <c r="AX34" s="17"/>
      <c r="AY34" s="17"/>
    </row>
    <row r="35" spans="2:51" ht="12" customHeight="1" x14ac:dyDescent="0.2">
      <c r="B35" s="70">
        <f>IF(C35="","",VLOOKUP(C35,'BD Joueurs Licence'!$E$3:$F$17,2))</f>
        <v>3000</v>
      </c>
      <c r="C35" s="77" t="s">
        <v>68</v>
      </c>
      <c r="D35" s="77"/>
      <c r="E35" s="77"/>
      <c r="F35" s="77"/>
      <c r="G35" s="77"/>
      <c r="H35" s="77"/>
      <c r="I35" s="77"/>
      <c r="J35" s="77"/>
      <c r="K35" s="77"/>
      <c r="L35" s="77"/>
      <c r="M35" s="77"/>
      <c r="N35" s="77"/>
      <c r="O35" s="77"/>
      <c r="P35" s="72">
        <f>IF(C35="","",VLOOKUP(C35,'BD Joueurs Licence'!$E$3:$G$17,3))</f>
        <v>1992</v>
      </c>
      <c r="Q35" s="17"/>
      <c r="R35" s="35">
        <v>1</v>
      </c>
      <c r="S35" s="17"/>
      <c r="T35" s="17"/>
      <c r="U35" s="36"/>
      <c r="V35" s="37"/>
      <c r="W35" s="36"/>
      <c r="X35" s="38"/>
      <c r="Z35" s="34"/>
      <c r="AA35" s="17"/>
      <c r="AB35" s="17"/>
      <c r="AC35" s="17"/>
      <c r="AD35" s="17"/>
      <c r="AE35" s="112"/>
      <c r="AF35" s="113"/>
      <c r="AH35" s="17"/>
      <c r="AI35" s="17"/>
      <c r="AJ35" s="17"/>
      <c r="AK35" s="17"/>
      <c r="AL35" s="17"/>
      <c r="AM35" s="67"/>
      <c r="AN35" s="37"/>
      <c r="AO35" s="17"/>
      <c r="AP35" s="17"/>
      <c r="AQ35" s="17"/>
      <c r="AR35" s="17"/>
      <c r="AS35" s="67"/>
      <c r="AT35" s="37"/>
      <c r="AU35" s="17"/>
      <c r="AV35" s="17"/>
      <c r="AW35" s="17"/>
      <c r="AX35" s="17"/>
      <c r="AY35" s="17"/>
    </row>
    <row r="36" spans="2:51" ht="12" customHeight="1" x14ac:dyDescent="0.2">
      <c r="B36" s="70">
        <f>IF(C36="","",VLOOKUP(C36,'BD Joueurs Licence'!$E$3:$F$17,2))</f>
        <v>5000</v>
      </c>
      <c r="C36" s="77" t="s">
        <v>70</v>
      </c>
      <c r="D36" s="77"/>
      <c r="E36" s="77"/>
      <c r="F36" s="77"/>
      <c r="G36" s="77"/>
      <c r="H36" s="77"/>
      <c r="I36" s="77"/>
      <c r="J36" s="77"/>
      <c r="K36" s="77"/>
      <c r="L36" s="77"/>
      <c r="M36" s="77"/>
      <c r="N36" s="77"/>
      <c r="O36" s="77"/>
      <c r="P36" s="72">
        <f>IF(C36="","",VLOOKUP(C36,'BD Joueurs Licence'!$E$3:$G$17,3))</f>
        <v>1994</v>
      </c>
      <c r="Q36" s="17"/>
      <c r="R36" s="35">
        <v>2</v>
      </c>
      <c r="S36" s="17"/>
      <c r="T36" s="17"/>
      <c r="U36" s="39"/>
      <c r="V36" s="40"/>
      <c r="W36" s="39"/>
      <c r="X36" s="15"/>
      <c r="Z36" s="34"/>
      <c r="AA36" s="17"/>
      <c r="AB36" s="17"/>
      <c r="AC36" s="17"/>
      <c r="AD36" s="17"/>
      <c r="AE36" s="112"/>
      <c r="AF36" s="113"/>
      <c r="AH36" s="17"/>
      <c r="AI36" s="17"/>
      <c r="AJ36" s="17"/>
      <c r="AK36" s="17"/>
      <c r="AL36" s="17"/>
      <c r="AM36" s="67"/>
      <c r="AN36" s="37"/>
      <c r="AO36" s="17"/>
      <c r="AP36" s="17"/>
      <c r="AQ36" s="17"/>
      <c r="AR36" s="17"/>
      <c r="AS36" s="67"/>
      <c r="AT36" s="37"/>
      <c r="AU36" s="17"/>
      <c r="AV36" s="17"/>
      <c r="AW36" s="17"/>
      <c r="AX36" s="17"/>
      <c r="AY36" s="17"/>
    </row>
    <row r="37" spans="2:51" ht="12" customHeight="1" x14ac:dyDescent="0.2">
      <c r="B37" s="70">
        <f>IF(C37="","",VLOOKUP(C37,'BD Joueurs Licence'!$E$3:$F$17,2))</f>
        <v>7000</v>
      </c>
      <c r="C37" s="77" t="s">
        <v>72</v>
      </c>
      <c r="D37" s="77"/>
      <c r="E37" s="77"/>
      <c r="F37" s="77"/>
      <c r="G37" s="77"/>
      <c r="H37" s="77"/>
      <c r="I37" s="77"/>
      <c r="J37" s="77"/>
      <c r="K37" s="77"/>
      <c r="L37" s="77"/>
      <c r="M37" s="77"/>
      <c r="N37" s="77"/>
      <c r="O37" s="77"/>
      <c r="P37" s="72">
        <f>IF(C37="","",VLOOKUP(C37,'BD Joueurs Licence'!$E$3:$G$17,3))</f>
        <v>1996</v>
      </c>
      <c r="Q37" s="17"/>
      <c r="R37" s="35">
        <v>3</v>
      </c>
      <c r="S37" s="17"/>
      <c r="T37" s="17"/>
      <c r="U37" s="36"/>
      <c r="V37" s="37"/>
      <c r="W37" s="36"/>
      <c r="X37" s="38"/>
      <c r="Z37" s="34"/>
      <c r="AA37" s="17"/>
      <c r="AB37" s="17"/>
      <c r="AC37" s="17"/>
      <c r="AD37" s="17"/>
      <c r="AE37" s="112"/>
      <c r="AF37" s="113"/>
      <c r="AH37" s="17"/>
      <c r="AI37" s="17"/>
      <c r="AJ37" s="17"/>
      <c r="AK37" s="17"/>
      <c r="AL37" s="17"/>
      <c r="AM37" s="67"/>
      <c r="AN37" s="37"/>
      <c r="AO37" s="17"/>
      <c r="AP37" s="17"/>
      <c r="AQ37" s="17"/>
      <c r="AR37" s="17"/>
      <c r="AS37" s="67"/>
      <c r="AT37" s="37"/>
      <c r="AU37" s="17"/>
      <c r="AV37" s="17"/>
      <c r="AW37" s="17"/>
      <c r="AX37" s="17"/>
      <c r="AY37" s="17"/>
    </row>
    <row r="38" spans="2:51" ht="12" customHeight="1" x14ac:dyDescent="0.2">
      <c r="B38" s="70">
        <f>IF(C38="","",VLOOKUP(C38,'BD Joueurs Licence'!$E$3:$F$17,2))</f>
        <v>15000</v>
      </c>
      <c r="C38" s="77" t="s">
        <v>80</v>
      </c>
      <c r="D38" s="77"/>
      <c r="E38" s="77"/>
      <c r="F38" s="77"/>
      <c r="G38" s="77"/>
      <c r="H38" s="77"/>
      <c r="I38" s="77"/>
      <c r="J38" s="77"/>
      <c r="K38" s="77"/>
      <c r="L38" s="77"/>
      <c r="M38" s="77"/>
      <c r="N38" s="77"/>
      <c r="O38" s="77"/>
      <c r="P38" s="72">
        <f>IF(C38="","",VLOOKUP(C38,'BD Joueurs Licence'!$E$3:$G$17,3))</f>
        <v>2004</v>
      </c>
      <c r="Q38" s="17"/>
      <c r="R38" s="35">
        <v>4</v>
      </c>
      <c r="S38" s="17"/>
      <c r="T38" s="17"/>
      <c r="U38" s="39"/>
      <c r="V38" s="40"/>
      <c r="W38" s="39"/>
      <c r="X38" s="15"/>
      <c r="Z38" s="34"/>
      <c r="AA38" s="17"/>
      <c r="AB38" s="17"/>
      <c r="AC38" s="17"/>
      <c r="AD38" s="17"/>
      <c r="AE38" s="112"/>
      <c r="AF38" s="113"/>
      <c r="AH38" s="17"/>
      <c r="AI38" s="17"/>
      <c r="AJ38" s="17"/>
      <c r="AK38" s="17"/>
      <c r="AL38" s="17"/>
      <c r="AM38" s="67"/>
      <c r="AN38" s="37"/>
      <c r="AO38" s="17"/>
      <c r="AP38" s="17"/>
      <c r="AQ38" s="17"/>
      <c r="AR38" s="17"/>
      <c r="AS38" s="67"/>
      <c r="AT38" s="37"/>
      <c r="AU38" s="17"/>
      <c r="AV38" s="17"/>
      <c r="AW38" s="17"/>
      <c r="AX38" s="17"/>
      <c r="AY38" s="17"/>
    </row>
    <row r="39" spans="2:51" ht="12" customHeight="1" x14ac:dyDescent="0.2">
      <c r="B39" s="70">
        <f>IF(C39="","",VLOOKUP(C39,'BD Joueurs Licence'!$E$3:$F$17,2))</f>
        <v>13000</v>
      </c>
      <c r="C39" s="77" t="s">
        <v>78</v>
      </c>
      <c r="D39" s="77"/>
      <c r="E39" s="77"/>
      <c r="F39" s="77"/>
      <c r="G39" s="77"/>
      <c r="H39" s="77"/>
      <c r="I39" s="77"/>
      <c r="J39" s="77"/>
      <c r="K39" s="77"/>
      <c r="L39" s="77"/>
      <c r="M39" s="77"/>
      <c r="N39" s="77"/>
      <c r="O39" s="77"/>
      <c r="P39" s="72">
        <f>IF(C39="","",VLOOKUP(C39,'BD Joueurs Licence'!$E$3:$G$17,3))</f>
        <v>2002</v>
      </c>
      <c r="Q39" s="17"/>
      <c r="R39" s="35">
        <v>5</v>
      </c>
      <c r="S39" s="17"/>
      <c r="T39" s="17"/>
      <c r="U39" s="36"/>
      <c r="V39" s="37"/>
      <c r="W39" s="36"/>
      <c r="X39" s="38"/>
      <c r="Z39" s="34"/>
      <c r="AA39" s="17"/>
      <c r="AB39" s="17"/>
      <c r="AC39" s="17"/>
      <c r="AD39" s="41"/>
      <c r="AE39" s="112"/>
      <c r="AF39" s="113"/>
      <c r="AH39" s="17"/>
      <c r="AI39" s="17"/>
      <c r="AJ39" s="17"/>
      <c r="AK39" s="17"/>
      <c r="AL39" s="17"/>
      <c r="AM39" s="67"/>
      <c r="AN39" s="37"/>
      <c r="AO39" s="17"/>
      <c r="AP39" s="17"/>
      <c r="AQ39" s="17"/>
      <c r="AR39" s="17"/>
      <c r="AS39" s="67"/>
      <c r="AT39" s="37"/>
      <c r="AU39" s="17"/>
      <c r="AV39" s="17"/>
      <c r="AW39" s="17"/>
      <c r="AX39" s="17"/>
      <c r="AY39" s="17"/>
    </row>
    <row r="40" spans="2:51" ht="12" customHeight="1" x14ac:dyDescent="0.2">
      <c r="B40" s="70">
        <f>IF(C40="","",VLOOKUP(C40,'BD Joueurs Licence'!$E$3:$F$17,2))</f>
        <v>12000</v>
      </c>
      <c r="C40" s="77" t="s">
        <v>77</v>
      </c>
      <c r="D40" s="77"/>
      <c r="E40" s="77"/>
      <c r="F40" s="77"/>
      <c r="G40" s="77"/>
      <c r="H40" s="77"/>
      <c r="I40" s="77"/>
      <c r="J40" s="77"/>
      <c r="K40" s="77"/>
      <c r="L40" s="77"/>
      <c r="M40" s="77"/>
      <c r="N40" s="77"/>
      <c r="O40" s="77"/>
      <c r="P40" s="72">
        <f>IF(C40="","",VLOOKUP(C40,'BD Joueurs Licence'!$E$3:$G$17,3))</f>
        <v>2001</v>
      </c>
      <c r="Q40" s="17"/>
      <c r="R40" s="35">
        <v>6</v>
      </c>
      <c r="S40" s="17"/>
      <c r="T40" s="17"/>
      <c r="U40" s="39"/>
      <c r="V40" s="40"/>
      <c r="W40" s="39"/>
      <c r="X40" s="15"/>
      <c r="Z40" s="34"/>
      <c r="AA40" s="17"/>
      <c r="AB40" s="17"/>
      <c r="AC40" s="17"/>
      <c r="AD40" s="17"/>
      <c r="AE40" s="112"/>
      <c r="AF40" s="113"/>
      <c r="AH40" s="112"/>
      <c r="AI40" s="112"/>
      <c r="AJ40" s="112"/>
      <c r="AK40" s="157" t="s">
        <v>1</v>
      </c>
      <c r="AL40" s="157"/>
      <c r="AM40" s="157"/>
      <c r="AN40" s="157"/>
      <c r="AO40" s="157"/>
      <c r="AP40" s="157"/>
      <c r="AQ40" s="157"/>
      <c r="AR40" s="157"/>
      <c r="AS40" s="157"/>
      <c r="AT40" s="64" t="s">
        <v>0</v>
      </c>
      <c r="AU40" s="157" t="s">
        <v>43</v>
      </c>
      <c r="AV40" s="157"/>
      <c r="AW40" s="157"/>
      <c r="AX40" s="157"/>
      <c r="AY40" s="157"/>
    </row>
    <row r="41" spans="2:51" ht="12" customHeight="1" x14ac:dyDescent="0.2">
      <c r="B41" s="70">
        <f>IF(C41="","",VLOOKUP(C41,'BD Joueurs Licence'!$E$3:$F$17,2))</f>
        <v>9000</v>
      </c>
      <c r="C41" s="77" t="s">
        <v>74</v>
      </c>
      <c r="D41" s="77"/>
      <c r="E41" s="77"/>
      <c r="F41" s="77"/>
      <c r="G41" s="77"/>
      <c r="H41" s="77"/>
      <c r="I41" s="77"/>
      <c r="J41" s="77"/>
      <c r="K41" s="77"/>
      <c r="L41" s="77"/>
      <c r="M41" s="77"/>
      <c r="N41" s="77"/>
      <c r="O41" s="77"/>
      <c r="P41" s="72">
        <f>IF(C41="","",VLOOKUP(C41,'BD Joueurs Licence'!$E$3:$G$17,3))</f>
        <v>1998</v>
      </c>
      <c r="Q41" s="17"/>
      <c r="R41" s="35">
        <v>7</v>
      </c>
      <c r="S41" s="17"/>
      <c r="T41" s="17"/>
      <c r="U41" s="36"/>
      <c r="V41" s="37"/>
      <c r="W41" s="36"/>
      <c r="X41" s="38"/>
      <c r="Z41" s="34"/>
      <c r="AA41" s="17"/>
      <c r="AB41" s="17"/>
      <c r="AC41" s="17"/>
      <c r="AD41" s="17"/>
      <c r="AE41" s="112"/>
      <c r="AF41" s="113"/>
      <c r="AH41" s="188" t="s">
        <v>44</v>
      </c>
      <c r="AI41" s="188"/>
      <c r="AJ41" s="188"/>
      <c r="AK41" s="157"/>
      <c r="AL41" s="157"/>
      <c r="AM41" s="157"/>
      <c r="AN41" s="157"/>
      <c r="AO41" s="157"/>
      <c r="AP41" s="157"/>
      <c r="AQ41" s="157"/>
      <c r="AR41" s="157"/>
      <c r="AS41" s="157"/>
      <c r="AT41" s="64"/>
      <c r="AU41" s="157"/>
      <c r="AV41" s="157"/>
      <c r="AW41" s="157"/>
      <c r="AX41" s="157"/>
      <c r="AY41" s="157"/>
    </row>
    <row r="42" spans="2:51" ht="12" customHeight="1" x14ac:dyDescent="0.2">
      <c r="B42" s="70">
        <f>IF(C42="","",VLOOKUP(C42,'BD Joueurs Licence'!$E$3:$F$17,2))</f>
        <v>8000</v>
      </c>
      <c r="C42" s="77" t="s">
        <v>73</v>
      </c>
      <c r="D42" s="77"/>
      <c r="E42" s="77"/>
      <c r="F42" s="77"/>
      <c r="G42" s="77"/>
      <c r="H42" s="77"/>
      <c r="I42" s="77"/>
      <c r="J42" s="77"/>
      <c r="K42" s="77"/>
      <c r="L42" s="77"/>
      <c r="M42" s="77"/>
      <c r="N42" s="77"/>
      <c r="O42" s="77"/>
      <c r="P42" s="72">
        <f>IF(C42="","",VLOOKUP(C42,'BD Joueurs Licence'!$E$3:$G$17,3))</f>
        <v>1997</v>
      </c>
      <c r="Q42" s="17"/>
      <c r="R42" s="35">
        <v>8</v>
      </c>
      <c r="S42" s="17"/>
      <c r="T42" s="17"/>
      <c r="U42" s="39"/>
      <c r="V42" s="40"/>
      <c r="W42" s="39"/>
      <c r="X42" s="15"/>
      <c r="Z42" s="34"/>
      <c r="AA42" s="17"/>
      <c r="AB42" s="17"/>
      <c r="AC42" s="17"/>
      <c r="AD42" s="17"/>
      <c r="AE42" s="112"/>
      <c r="AF42" s="113"/>
      <c r="AH42" s="188" t="s">
        <v>45</v>
      </c>
      <c r="AI42" s="188"/>
      <c r="AJ42" s="188"/>
      <c r="AK42" s="157"/>
      <c r="AL42" s="157"/>
      <c r="AM42" s="157"/>
      <c r="AN42" s="157"/>
      <c r="AO42" s="157"/>
      <c r="AP42" s="157"/>
      <c r="AQ42" s="157"/>
      <c r="AR42" s="157"/>
      <c r="AS42" s="157"/>
      <c r="AT42" s="64"/>
      <c r="AU42" s="157"/>
      <c r="AV42" s="157"/>
      <c r="AW42" s="157"/>
      <c r="AX42" s="157"/>
      <c r="AY42" s="157"/>
    </row>
    <row r="43" spans="2:51" ht="12" customHeight="1" x14ac:dyDescent="0.2">
      <c r="B43" s="70">
        <f>IF(C43="","",VLOOKUP(C43,'BD Joueurs Licence'!$E$3:$F$17,2))</f>
        <v>14000</v>
      </c>
      <c r="C43" s="77" t="s">
        <v>79</v>
      </c>
      <c r="D43" s="77"/>
      <c r="E43" s="77"/>
      <c r="F43" s="77"/>
      <c r="G43" s="77"/>
      <c r="H43" s="77"/>
      <c r="I43" s="77"/>
      <c r="J43" s="77"/>
      <c r="K43" s="77"/>
      <c r="L43" s="77"/>
      <c r="M43" s="77"/>
      <c r="N43" s="77"/>
      <c r="O43" s="77"/>
      <c r="P43" s="72">
        <f>IF(C43="","",VLOOKUP(C43,'BD Joueurs Licence'!$E$3:$G$17,3))</f>
        <v>2003</v>
      </c>
      <c r="Q43" s="17"/>
      <c r="R43" s="35">
        <v>9</v>
      </c>
      <c r="S43" s="17"/>
      <c r="T43" s="17"/>
      <c r="U43" s="36"/>
      <c r="V43" s="37"/>
      <c r="W43" s="36"/>
      <c r="X43" s="38"/>
      <c r="Z43" s="34"/>
      <c r="AA43" s="17"/>
      <c r="AB43" s="17"/>
      <c r="AC43" s="17"/>
      <c r="AD43" s="17"/>
      <c r="AE43" s="112"/>
      <c r="AF43" s="113"/>
      <c r="AH43" s="188" t="s">
        <v>46</v>
      </c>
      <c r="AI43" s="188"/>
      <c r="AJ43" s="188"/>
      <c r="AK43" s="157" t="s">
        <v>104</v>
      </c>
      <c r="AL43" s="157"/>
      <c r="AM43" s="157"/>
      <c r="AN43" s="157"/>
      <c r="AO43" s="157"/>
      <c r="AP43" s="157"/>
      <c r="AQ43" s="157"/>
      <c r="AR43" s="157"/>
      <c r="AS43" s="157"/>
      <c r="AT43" s="64"/>
      <c r="AU43" s="157"/>
      <c r="AV43" s="157"/>
      <c r="AW43" s="157"/>
      <c r="AX43" s="157"/>
      <c r="AY43" s="157"/>
    </row>
    <row r="44" spans="2:51" ht="12" customHeight="1" x14ac:dyDescent="0.2">
      <c r="B44" s="70" t="str">
        <f>IF(C44="","",VLOOKUP(C44,'BD Joueurs Licence'!E12:F26,2))</f>
        <v/>
      </c>
      <c r="C44" s="77"/>
      <c r="D44" s="77"/>
      <c r="E44" s="77"/>
      <c r="F44" s="77"/>
      <c r="G44" s="77"/>
      <c r="H44" s="77"/>
      <c r="I44" s="77"/>
      <c r="J44" s="77"/>
      <c r="K44" s="77"/>
      <c r="L44" s="77"/>
      <c r="M44" s="77"/>
      <c r="N44" s="77"/>
      <c r="O44" s="77"/>
      <c r="P44" s="72" t="str">
        <f>IF(C44="","",VLOOKUP(C44,'BD Joueurs Licence'!$E$3:$G$17,3))</f>
        <v/>
      </c>
      <c r="Q44" s="17"/>
      <c r="R44" s="35">
        <v>10</v>
      </c>
      <c r="S44" s="17"/>
      <c r="T44" s="17"/>
      <c r="U44" s="39"/>
      <c r="V44" s="40"/>
      <c r="W44" s="39"/>
      <c r="X44" s="15"/>
      <c r="Z44" s="34"/>
      <c r="AA44" s="17"/>
      <c r="AB44" s="17"/>
      <c r="AC44" s="17"/>
      <c r="AD44" s="17"/>
      <c r="AE44" s="112"/>
      <c r="AF44" s="113"/>
      <c r="AH44" s="188" t="s">
        <v>46</v>
      </c>
      <c r="AI44" s="188"/>
      <c r="AJ44" s="188"/>
      <c r="AK44" s="189"/>
      <c r="AL44" s="190"/>
      <c r="AM44" s="190"/>
      <c r="AN44" s="190"/>
      <c r="AO44" s="190"/>
      <c r="AP44" s="190"/>
      <c r="AQ44" s="190"/>
      <c r="AR44" s="190"/>
      <c r="AS44" s="191"/>
      <c r="AT44" s="64"/>
      <c r="AU44" s="157"/>
      <c r="AV44" s="157"/>
      <c r="AW44" s="157"/>
      <c r="AX44" s="157"/>
      <c r="AY44" s="157"/>
    </row>
    <row r="45" spans="2:51" ht="12" customHeight="1" x14ac:dyDescent="0.2">
      <c r="B45" s="70" t="str">
        <f>IF(C45="","",VLOOKUP(C45,'BD Joueurs Licence'!E13:F27,2))</f>
        <v/>
      </c>
      <c r="C45" s="77"/>
      <c r="D45" s="77"/>
      <c r="E45" s="77"/>
      <c r="F45" s="77"/>
      <c r="G45" s="77"/>
      <c r="H45" s="77"/>
      <c r="I45" s="77"/>
      <c r="J45" s="77"/>
      <c r="K45" s="77"/>
      <c r="L45" s="77"/>
      <c r="M45" s="77"/>
      <c r="N45" s="77"/>
      <c r="O45" s="77"/>
      <c r="P45" s="72" t="str">
        <f>IF(C45="","",VLOOKUP(C45,'BD Joueurs Licence'!$E$3:$G$17,3))</f>
        <v/>
      </c>
      <c r="Q45" s="17"/>
      <c r="R45" s="35">
        <v>11</v>
      </c>
      <c r="S45" s="17"/>
      <c r="T45" s="17"/>
      <c r="U45" s="36"/>
      <c r="V45" s="37"/>
      <c r="W45" s="36"/>
      <c r="X45" s="38"/>
      <c r="Z45" s="34"/>
      <c r="AA45" s="17"/>
      <c r="AB45" s="17"/>
      <c r="AC45" s="17"/>
      <c r="AD45" s="17"/>
      <c r="AE45" s="112"/>
      <c r="AF45" s="113"/>
      <c r="AH45" s="188" t="s">
        <v>47</v>
      </c>
      <c r="AI45" s="188"/>
      <c r="AJ45" s="188"/>
      <c r="AK45" s="157"/>
      <c r="AL45" s="157"/>
      <c r="AM45" s="157"/>
      <c r="AN45" s="157"/>
      <c r="AO45" s="157"/>
      <c r="AP45" s="157"/>
      <c r="AQ45" s="157"/>
      <c r="AR45" s="157"/>
      <c r="AS45" s="157"/>
      <c r="AT45" s="64"/>
      <c r="AU45" s="157"/>
      <c r="AV45" s="157"/>
      <c r="AW45" s="157"/>
      <c r="AX45" s="157"/>
      <c r="AY45" s="157"/>
    </row>
    <row r="46" spans="2:51" ht="12" customHeight="1" x14ac:dyDescent="0.2">
      <c r="B46" s="70" t="str">
        <f>IF(C46="","",VLOOKUP(C46,'BD Joueurs Licence'!E14:F28,2))</f>
        <v/>
      </c>
      <c r="C46" s="77"/>
      <c r="D46" s="77"/>
      <c r="E46" s="77"/>
      <c r="F46" s="77"/>
      <c r="G46" s="77"/>
      <c r="H46" s="77"/>
      <c r="I46" s="77"/>
      <c r="J46" s="77"/>
      <c r="K46" s="77"/>
      <c r="L46" s="77"/>
      <c r="M46" s="77"/>
      <c r="N46" s="77"/>
      <c r="O46" s="77"/>
      <c r="P46" s="72" t="str">
        <f>IF(C46="","",VLOOKUP(C46,'BD Joueurs Licence'!$E$3:$G$17,3))</f>
        <v/>
      </c>
      <c r="Q46" s="17"/>
      <c r="R46" s="35">
        <v>12</v>
      </c>
      <c r="S46" s="17"/>
      <c r="T46" s="17"/>
      <c r="U46" s="39"/>
      <c r="V46" s="40"/>
      <c r="W46" s="39"/>
      <c r="X46" s="15"/>
      <c r="Z46" s="34"/>
      <c r="AA46" s="17"/>
      <c r="AB46" s="17"/>
      <c r="AC46" s="17"/>
      <c r="AD46" s="17"/>
      <c r="AE46" s="112"/>
      <c r="AF46" s="113"/>
      <c r="AH46" s="158" t="s">
        <v>48</v>
      </c>
      <c r="AI46" s="159"/>
      <c r="AJ46" s="159"/>
      <c r="AK46" s="159"/>
      <c r="AL46" s="159"/>
      <c r="AM46" s="159"/>
      <c r="AN46" s="159"/>
      <c r="AO46" s="159"/>
      <c r="AP46" s="159"/>
      <c r="AQ46" s="159"/>
      <c r="AR46" s="159"/>
      <c r="AS46" s="159"/>
      <c r="AT46" s="159"/>
      <c r="AU46" s="159"/>
      <c r="AV46" s="159"/>
      <c r="AW46" s="159"/>
      <c r="AX46" s="159"/>
      <c r="AY46" s="160"/>
    </row>
    <row r="47" spans="2:51" ht="12" customHeight="1" x14ac:dyDescent="0.2">
      <c r="B47" s="70" t="str">
        <f>IF(C47="","",VLOOKUP(C47,'BD Joueurs Licence'!E15:F29,2))</f>
        <v/>
      </c>
      <c r="C47" s="77"/>
      <c r="D47" s="77"/>
      <c r="E47" s="77"/>
      <c r="F47" s="77"/>
      <c r="G47" s="77"/>
      <c r="H47" s="77"/>
      <c r="I47" s="77"/>
      <c r="J47" s="77"/>
      <c r="K47" s="77"/>
      <c r="L47" s="77"/>
      <c r="M47" s="77"/>
      <c r="N47" s="77"/>
      <c r="O47" s="77"/>
      <c r="P47" s="72" t="str">
        <f>IF(C47="","",VLOOKUP(C47,'BD Joueurs Licence'!$E$3:$G$17,3))</f>
        <v/>
      </c>
      <c r="Q47" s="17"/>
      <c r="R47" s="35">
        <v>13</v>
      </c>
      <c r="S47" s="17"/>
      <c r="T47" s="17"/>
      <c r="U47" s="36"/>
      <c r="V47" s="37"/>
      <c r="W47" s="36"/>
      <c r="X47" s="38"/>
      <c r="Z47" s="34"/>
      <c r="AA47" s="17"/>
      <c r="AB47" s="17"/>
      <c r="AC47" s="17"/>
      <c r="AD47" s="17"/>
      <c r="AE47" s="112"/>
      <c r="AF47" s="113"/>
      <c r="AH47" s="161"/>
      <c r="AI47" s="162"/>
      <c r="AJ47" s="162"/>
      <c r="AK47" s="162"/>
      <c r="AL47" s="162"/>
      <c r="AM47" s="162"/>
      <c r="AN47" s="162"/>
      <c r="AO47" s="162"/>
      <c r="AP47" s="162"/>
      <c r="AQ47" s="162"/>
      <c r="AR47" s="162"/>
      <c r="AS47" s="162"/>
      <c r="AT47" s="162"/>
      <c r="AU47" s="162"/>
      <c r="AV47" s="162"/>
      <c r="AW47" s="162"/>
      <c r="AX47" s="162"/>
      <c r="AY47" s="163"/>
    </row>
    <row r="48" spans="2:51" ht="12" customHeight="1" x14ac:dyDescent="0.2">
      <c r="B48" s="70" t="str">
        <f>IF(C48="","",VLOOKUP(C48,'BD Joueurs Licence'!E16:F30,2))</f>
        <v/>
      </c>
      <c r="C48" s="77"/>
      <c r="D48" s="77"/>
      <c r="E48" s="77"/>
      <c r="F48" s="77"/>
      <c r="G48" s="77"/>
      <c r="H48" s="77"/>
      <c r="I48" s="77"/>
      <c r="J48" s="77"/>
      <c r="K48" s="77"/>
      <c r="L48" s="77"/>
      <c r="M48" s="77"/>
      <c r="N48" s="77"/>
      <c r="O48" s="77"/>
      <c r="P48" s="72" t="str">
        <f>IF(C48="","",VLOOKUP(C48,'BD Joueurs Licence'!$E$3:$G$17,3))</f>
        <v/>
      </c>
      <c r="Q48" s="17"/>
      <c r="R48" s="35">
        <v>14</v>
      </c>
      <c r="S48" s="17"/>
      <c r="T48" s="17"/>
      <c r="U48" s="39"/>
      <c r="V48" s="40"/>
      <c r="W48" s="39"/>
      <c r="X48" s="15"/>
      <c r="Z48" s="34"/>
      <c r="AA48" s="17"/>
      <c r="AB48" s="17"/>
      <c r="AC48" s="17"/>
      <c r="AD48" s="17"/>
      <c r="AE48" s="112"/>
      <c r="AF48" s="113"/>
      <c r="AH48" s="161"/>
      <c r="AI48" s="162"/>
      <c r="AJ48" s="162"/>
      <c r="AK48" s="162"/>
      <c r="AL48" s="162"/>
      <c r="AM48" s="162"/>
      <c r="AN48" s="162"/>
      <c r="AO48" s="162"/>
      <c r="AP48" s="162"/>
      <c r="AQ48" s="162"/>
      <c r="AR48" s="162"/>
      <c r="AS48" s="162"/>
      <c r="AT48" s="162"/>
      <c r="AU48" s="162"/>
      <c r="AV48" s="162"/>
      <c r="AW48" s="162"/>
      <c r="AX48" s="162"/>
      <c r="AY48" s="163"/>
    </row>
    <row r="49" spans="2:51" ht="12" customHeight="1" thickBot="1" x14ac:dyDescent="0.25">
      <c r="B49" s="70" t="str">
        <f>IF(C49="","",VLOOKUP(C49,'BD Joueurs Licence'!E17:F31,2))</f>
        <v/>
      </c>
      <c r="C49" s="77"/>
      <c r="D49" s="77"/>
      <c r="E49" s="77"/>
      <c r="F49" s="77"/>
      <c r="G49" s="77"/>
      <c r="H49" s="77"/>
      <c r="I49" s="77"/>
      <c r="J49" s="77"/>
      <c r="K49" s="77"/>
      <c r="L49" s="77"/>
      <c r="M49" s="77"/>
      <c r="N49" s="77"/>
      <c r="O49" s="77"/>
      <c r="P49" s="72" t="str">
        <f>IF(C49="","",VLOOKUP(C49,'BD Joueurs Licence'!$E$3:$G$17,3))</f>
        <v/>
      </c>
      <c r="Q49" s="50"/>
      <c r="R49" s="51">
        <v>15</v>
      </c>
      <c r="S49" s="50"/>
      <c r="T49" s="50"/>
      <c r="U49" s="52"/>
      <c r="V49" s="53"/>
      <c r="W49" s="52"/>
      <c r="X49" s="54"/>
      <c r="Z49" s="34"/>
      <c r="AA49" s="17"/>
      <c r="AB49" s="17"/>
      <c r="AC49" s="17"/>
      <c r="AD49" s="17"/>
      <c r="AE49" s="112"/>
      <c r="AF49" s="113"/>
      <c r="AH49" s="161"/>
      <c r="AI49" s="162"/>
      <c r="AJ49" s="162"/>
      <c r="AK49" s="162"/>
      <c r="AL49" s="162"/>
      <c r="AM49" s="162"/>
      <c r="AN49" s="162"/>
      <c r="AO49" s="162"/>
      <c r="AP49" s="162"/>
      <c r="AQ49" s="162"/>
      <c r="AR49" s="162"/>
      <c r="AS49" s="162"/>
      <c r="AT49" s="162"/>
      <c r="AU49" s="162"/>
      <c r="AV49" s="162"/>
      <c r="AW49" s="162"/>
      <c r="AX49" s="162"/>
      <c r="AY49" s="163"/>
    </row>
    <row r="50" spans="2:51" ht="12" customHeight="1" x14ac:dyDescent="0.2">
      <c r="B50" s="13"/>
      <c r="C50" s="85"/>
      <c r="D50" s="86"/>
      <c r="E50" s="86"/>
      <c r="F50" s="86"/>
      <c r="G50" s="86"/>
      <c r="H50" s="86"/>
      <c r="I50" s="86"/>
      <c r="J50" s="86"/>
      <c r="K50" s="86"/>
      <c r="L50" s="86"/>
      <c r="M50" s="86"/>
      <c r="N50" s="86"/>
      <c r="O50" s="87"/>
      <c r="P50" s="11"/>
      <c r="Q50" s="93" t="s">
        <v>14</v>
      </c>
      <c r="R50" s="94"/>
      <c r="S50" s="94"/>
      <c r="T50" s="94"/>
      <c r="U50" s="94"/>
      <c r="V50" s="94"/>
      <c r="W50" s="94"/>
      <c r="X50" s="95"/>
      <c r="Z50" s="34"/>
      <c r="AA50" s="17"/>
      <c r="AB50" s="17"/>
      <c r="AC50" s="17"/>
      <c r="AD50" s="17"/>
      <c r="AE50" s="112"/>
      <c r="AF50" s="113"/>
      <c r="AH50" s="161"/>
      <c r="AI50" s="162"/>
      <c r="AJ50" s="162"/>
      <c r="AK50" s="162"/>
      <c r="AL50" s="162"/>
      <c r="AM50" s="162"/>
      <c r="AN50" s="162"/>
      <c r="AO50" s="162"/>
      <c r="AP50" s="162"/>
      <c r="AQ50" s="162"/>
      <c r="AR50" s="162"/>
      <c r="AS50" s="162"/>
      <c r="AT50" s="162"/>
      <c r="AU50" s="162"/>
      <c r="AV50" s="162"/>
      <c r="AW50" s="162"/>
      <c r="AX50" s="162"/>
      <c r="AY50" s="163"/>
    </row>
    <row r="51" spans="2:51" ht="12" customHeight="1" x14ac:dyDescent="0.2">
      <c r="B51" s="47"/>
      <c r="C51" s="82"/>
      <c r="D51" s="83"/>
      <c r="E51" s="83"/>
      <c r="F51" s="83"/>
      <c r="G51" s="83"/>
      <c r="H51" s="83"/>
      <c r="I51" s="83"/>
      <c r="J51" s="83"/>
      <c r="K51" s="83"/>
      <c r="L51" s="83"/>
      <c r="M51" s="83"/>
      <c r="N51" s="83"/>
      <c r="O51" s="84"/>
      <c r="P51" s="48"/>
      <c r="Q51" s="90" t="s">
        <v>15</v>
      </c>
      <c r="R51" s="91"/>
      <c r="S51" s="91"/>
      <c r="T51" s="91"/>
      <c r="U51" s="91"/>
      <c r="V51" s="91"/>
      <c r="W51" s="91"/>
      <c r="X51" s="92"/>
      <c r="Z51" s="126" t="s">
        <v>23</v>
      </c>
      <c r="AA51" s="127"/>
      <c r="AB51" s="127"/>
      <c r="AC51" s="127"/>
      <c r="AD51" s="127"/>
      <c r="AE51" s="127"/>
      <c r="AF51" s="128"/>
      <c r="AH51" s="164"/>
      <c r="AI51" s="165"/>
      <c r="AJ51" s="165"/>
      <c r="AK51" s="165"/>
      <c r="AL51" s="165"/>
      <c r="AM51" s="165"/>
      <c r="AN51" s="165"/>
      <c r="AO51" s="165"/>
      <c r="AP51" s="165"/>
      <c r="AQ51" s="165"/>
      <c r="AR51" s="165"/>
      <c r="AS51" s="165"/>
      <c r="AT51" s="165"/>
      <c r="AU51" s="165"/>
      <c r="AV51" s="165"/>
      <c r="AW51" s="165"/>
      <c r="AX51" s="165"/>
      <c r="AY51" s="166"/>
    </row>
    <row r="52" spans="2:51" ht="12" customHeight="1" thickBot="1" x14ac:dyDescent="0.25">
      <c r="B52" s="31"/>
      <c r="C52" s="79"/>
      <c r="D52" s="80"/>
      <c r="E52" s="80"/>
      <c r="F52" s="80"/>
      <c r="G52" s="80"/>
      <c r="H52" s="80"/>
      <c r="I52" s="80"/>
      <c r="J52" s="80"/>
      <c r="K52" s="80"/>
      <c r="L52" s="80"/>
      <c r="M52" s="80"/>
      <c r="N52" s="80"/>
      <c r="O52" s="81"/>
      <c r="P52" s="28"/>
      <c r="Q52" s="102" t="s">
        <v>10</v>
      </c>
      <c r="R52" s="103"/>
      <c r="S52" s="103"/>
      <c r="T52" s="103"/>
      <c r="U52" s="103"/>
      <c r="V52" s="103"/>
      <c r="W52" s="103"/>
      <c r="X52" s="104"/>
      <c r="Z52" s="129"/>
      <c r="AA52" s="127"/>
      <c r="AB52" s="127"/>
      <c r="AC52" s="127"/>
      <c r="AD52" s="127"/>
      <c r="AE52" s="127"/>
      <c r="AF52" s="128"/>
      <c r="AH52" s="177" t="s">
        <v>49</v>
      </c>
      <c r="AI52" s="178"/>
      <c r="AJ52" s="178"/>
      <c r="AK52" s="178"/>
      <c r="AL52" s="178"/>
      <c r="AM52" s="178"/>
      <c r="AN52" s="178"/>
      <c r="AO52" s="178"/>
      <c r="AP52" s="178"/>
      <c r="AQ52" s="178"/>
      <c r="AR52" s="178"/>
      <c r="AS52" s="178"/>
      <c r="AT52" s="178"/>
      <c r="AU52" s="178"/>
      <c r="AV52" s="178"/>
      <c r="AW52" s="178"/>
      <c r="AX52" s="178"/>
      <c r="AY52" s="179"/>
    </row>
    <row r="53" spans="2:51" ht="12" customHeight="1" thickBot="1" x14ac:dyDescent="0.25">
      <c r="Z53" s="130"/>
      <c r="AA53" s="131"/>
      <c r="AB53" s="131"/>
      <c r="AC53" s="131"/>
      <c r="AD53" s="131"/>
      <c r="AE53" s="131"/>
      <c r="AF53" s="132"/>
      <c r="AH53" s="180"/>
      <c r="AI53" s="181"/>
      <c r="AJ53" s="181"/>
      <c r="AK53" s="181"/>
      <c r="AL53" s="181"/>
      <c r="AM53" s="181"/>
      <c r="AN53" s="181"/>
      <c r="AO53" s="181"/>
      <c r="AP53" s="181"/>
      <c r="AQ53" s="181"/>
      <c r="AR53" s="181"/>
      <c r="AS53" s="181"/>
      <c r="AT53" s="181"/>
      <c r="AU53" s="181"/>
      <c r="AV53" s="181"/>
      <c r="AW53" s="181"/>
      <c r="AX53" s="181"/>
      <c r="AY53" s="182"/>
    </row>
  </sheetData>
  <mergeCells count="185">
    <mergeCell ref="BB4:BD5"/>
    <mergeCell ref="AH52:AY53"/>
    <mergeCell ref="S34:X34"/>
    <mergeCell ref="S8:X8"/>
    <mergeCell ref="C29:Q29"/>
    <mergeCell ref="C3:Q3"/>
    <mergeCell ref="AI5:AK5"/>
    <mergeCell ref="AH40:AJ40"/>
    <mergeCell ref="AK40:AS40"/>
    <mergeCell ref="AU40:AY40"/>
    <mergeCell ref="AK41:AS41"/>
    <mergeCell ref="AU41:AY41"/>
    <mergeCell ref="AH45:AJ45"/>
    <mergeCell ref="AH44:AJ44"/>
    <mergeCell ref="AH43:AJ43"/>
    <mergeCell ref="AH42:AJ42"/>
    <mergeCell ref="AH41:AJ41"/>
    <mergeCell ref="AK42:AS42"/>
    <mergeCell ref="AU42:AY42"/>
    <mergeCell ref="AK43:AS43"/>
    <mergeCell ref="AU43:AY43"/>
    <mergeCell ref="AK44:AS44"/>
    <mergeCell ref="AU44:AY44"/>
    <mergeCell ref="AK45:AS45"/>
    <mergeCell ref="AU45:AY45"/>
    <mergeCell ref="AH46:AY51"/>
    <mergeCell ref="AQ8:AV8"/>
    <mergeCell ref="AW8:AY8"/>
    <mergeCell ref="AQ9:AV9"/>
    <mergeCell ref="AW9:AY9"/>
    <mergeCell ref="AQ10:AV10"/>
    <mergeCell ref="AW10:AY10"/>
    <mergeCell ref="AH9:AM9"/>
    <mergeCell ref="AH8:AM8"/>
    <mergeCell ref="AN10:AP10"/>
    <mergeCell ref="AN9:AP9"/>
    <mergeCell ref="AN8:AP8"/>
    <mergeCell ref="AR12:AS12"/>
    <mergeCell ref="AN27:AN28"/>
    <mergeCell ref="AO27:AO28"/>
    <mergeCell ref="AP27:AP28"/>
    <mergeCell ref="AQ27:AQ28"/>
    <mergeCell ref="AR27:AR28"/>
    <mergeCell ref="AS27:AS28"/>
    <mergeCell ref="AH27:AH28"/>
    <mergeCell ref="AH32:AH33"/>
    <mergeCell ref="AK32:AK33"/>
    <mergeCell ref="AJ32:AJ33"/>
    <mergeCell ref="AQ2:AY4"/>
    <mergeCell ref="AH10:AM10"/>
    <mergeCell ref="AK3:AP3"/>
    <mergeCell ref="AI4:AP4"/>
    <mergeCell ref="AQ5:AY6"/>
    <mergeCell ref="AS32:AS33"/>
    <mergeCell ref="AX12:AY12"/>
    <mergeCell ref="AT27:AT28"/>
    <mergeCell ref="AU27:AU28"/>
    <mergeCell ref="AV27:AV28"/>
    <mergeCell ref="AW27:AW28"/>
    <mergeCell ref="AX27:AX28"/>
    <mergeCell ref="AY27:AY28"/>
    <mergeCell ref="AT32:AT33"/>
    <mergeCell ref="AU32:AU33"/>
    <mergeCell ref="AV32:AV33"/>
    <mergeCell ref="AW32:AW33"/>
    <mergeCell ref="AX32:AX33"/>
    <mergeCell ref="AY32:AY33"/>
    <mergeCell ref="AN32:AN33"/>
    <mergeCell ref="AO32:AO33"/>
    <mergeCell ref="AP32:AP33"/>
    <mergeCell ref="AQ32:AQ33"/>
    <mergeCell ref="AR32:AR33"/>
    <mergeCell ref="AI32:AI33"/>
    <mergeCell ref="AE49:AF49"/>
    <mergeCell ref="AE50:AF50"/>
    <mergeCell ref="Z51:AF53"/>
    <mergeCell ref="AH3:AJ3"/>
    <mergeCell ref="AL5:AM5"/>
    <mergeCell ref="AL12:AM12"/>
    <mergeCell ref="AL32:AL33"/>
    <mergeCell ref="AM32:AM33"/>
    <mergeCell ref="AM27:AM28"/>
    <mergeCell ref="AL27:AL28"/>
    <mergeCell ref="AK27:AK28"/>
    <mergeCell ref="AJ27:AJ28"/>
    <mergeCell ref="AI27:AI28"/>
    <mergeCell ref="AE44:AF44"/>
    <mergeCell ref="AE45:AF45"/>
    <mergeCell ref="AE46:AF46"/>
    <mergeCell ref="AE47:AF47"/>
    <mergeCell ref="AE48:AF48"/>
    <mergeCell ref="AE39:AF39"/>
    <mergeCell ref="AE40:AF40"/>
    <mergeCell ref="AE41:AF41"/>
    <mergeCell ref="AE42:AF42"/>
    <mergeCell ref="AE43:AF43"/>
    <mergeCell ref="AE34:AF34"/>
    <mergeCell ref="AE35:AF35"/>
    <mergeCell ref="AE36:AF36"/>
    <mergeCell ref="AE37:AF37"/>
    <mergeCell ref="AE38:AF38"/>
    <mergeCell ref="AE12:AF12"/>
    <mergeCell ref="AE11:AF11"/>
    <mergeCell ref="AE10:AF10"/>
    <mergeCell ref="AE9:AF9"/>
    <mergeCell ref="Z31:AC32"/>
    <mergeCell ref="Z30:AC30"/>
    <mergeCell ref="Z29:AC29"/>
    <mergeCell ref="AE24:AF24"/>
    <mergeCell ref="AE23:AF23"/>
    <mergeCell ref="AD27:AD28"/>
    <mergeCell ref="AD31:AD32"/>
    <mergeCell ref="AE31:AF32"/>
    <mergeCell ref="AE30:AF30"/>
    <mergeCell ref="AE29:AF29"/>
    <mergeCell ref="AE27:AF28"/>
    <mergeCell ref="AE26:AF26"/>
    <mergeCell ref="AE25:AF25"/>
    <mergeCell ref="Z3:AC5"/>
    <mergeCell ref="Z27:AC28"/>
    <mergeCell ref="Z26:AC26"/>
    <mergeCell ref="Z25:AC25"/>
    <mergeCell ref="AE22:AF22"/>
    <mergeCell ref="AE21:AF21"/>
    <mergeCell ref="AE20:AF20"/>
    <mergeCell ref="AE19:AF19"/>
    <mergeCell ref="AE18:AF18"/>
    <mergeCell ref="AE17:AF17"/>
    <mergeCell ref="AE16:AF16"/>
    <mergeCell ref="AE15:AF15"/>
    <mergeCell ref="AE14:AF14"/>
    <mergeCell ref="AE13:AF13"/>
    <mergeCell ref="AE8:AF8"/>
    <mergeCell ref="C50:O50"/>
    <mergeCell ref="Q50:X50"/>
    <mergeCell ref="C51:O51"/>
    <mergeCell ref="Q51:X51"/>
    <mergeCell ref="C52:O52"/>
    <mergeCell ref="Q52:X52"/>
    <mergeCell ref="C49:O49"/>
    <mergeCell ref="C38:O38"/>
    <mergeCell ref="C39:O39"/>
    <mergeCell ref="C40:O40"/>
    <mergeCell ref="C41:O41"/>
    <mergeCell ref="C42:O42"/>
    <mergeCell ref="C43:O43"/>
    <mergeCell ref="C44:O44"/>
    <mergeCell ref="C45:O45"/>
    <mergeCell ref="C46:O46"/>
    <mergeCell ref="C47:O47"/>
    <mergeCell ref="C48:O48"/>
    <mergeCell ref="B32:G32"/>
    <mergeCell ref="C34:O34"/>
    <mergeCell ref="C35:O35"/>
    <mergeCell ref="C36:O36"/>
    <mergeCell ref="C37:O37"/>
    <mergeCell ref="Q25:X25"/>
    <mergeCell ref="Q24:X24"/>
    <mergeCell ref="B5:F5"/>
    <mergeCell ref="V3:W3"/>
    <mergeCell ref="V29:W29"/>
    <mergeCell ref="B31:F31"/>
    <mergeCell ref="B6:G6"/>
    <mergeCell ref="C23:O23"/>
    <mergeCell ref="C22:O22"/>
    <mergeCell ref="C21:O21"/>
    <mergeCell ref="C20:O20"/>
    <mergeCell ref="C19:O19"/>
    <mergeCell ref="C18:O18"/>
    <mergeCell ref="S3:U3"/>
    <mergeCell ref="S29:U29"/>
    <mergeCell ref="Q26:X26"/>
    <mergeCell ref="C11:O11"/>
    <mergeCell ref="C10:O10"/>
    <mergeCell ref="C9:O9"/>
    <mergeCell ref="C17:O17"/>
    <mergeCell ref="C16:O16"/>
    <mergeCell ref="C15:O15"/>
    <mergeCell ref="C14:O14"/>
    <mergeCell ref="C13:O13"/>
    <mergeCell ref="C12:O12"/>
    <mergeCell ref="C8:O8"/>
    <mergeCell ref="C26:O26"/>
    <mergeCell ref="C25:O25"/>
    <mergeCell ref="C24:O24"/>
  </mergeCells>
  <printOptions horizontalCentered="1" verticalCentered="1"/>
  <pageMargins left="0" right="0" top="0" bottom="0" header="0" footer="0"/>
  <pageSetup paperSize="9" scale="83" orientation="landscape" verticalDpi="0" r:id="rId1"/>
  <colBreaks count="1" manualBreakCount="1">
    <brk id="52" max="52" man="1"/>
  </colBreaks>
  <drawing r:id="rId2"/>
  <extLst>
    <ext xmlns:x14="http://schemas.microsoft.com/office/spreadsheetml/2009/9/main" uri="{CCE6A557-97BC-4b89-ADB6-D9C93CAAB3DF}">
      <x14:dataValidations xmlns:xm="http://schemas.microsoft.com/office/excel/2006/main" count="6">
        <x14:dataValidation type="list" allowBlank="1" showInputMessage="1" showErrorMessage="1">
          <x14:formula1>
            <xm:f>'BD Joueurs Licence'!$I$1:$I$9</xm:f>
          </x14:formula1>
          <xm:sqref>C29:Q29</xm:sqref>
        </x14:dataValidation>
        <x14:dataValidation type="list" allowBlank="1" showInputMessage="1" showErrorMessage="1">
          <x14:formula1>
            <xm:f>'BD Joueurs Licence'!$B$3:$B$17</xm:f>
          </x14:formula1>
          <xm:sqref>C9:O23</xm:sqref>
        </x14:dataValidation>
        <x14:dataValidation type="list" allowBlank="1" showInputMessage="1" showErrorMessage="1">
          <x14:formula1>
            <xm:f>'BD Joueurs Licence'!$E$3:$E$17</xm:f>
          </x14:formula1>
          <xm:sqref>C35:O49</xm:sqref>
        </x14:dataValidation>
        <x14:dataValidation type="list" allowBlank="1" showInputMessage="1" showErrorMessage="1">
          <x14:formula1>
            <xm:f>'BD Joueurs Licence'!$I$2:$I$10</xm:f>
          </x14:formula1>
          <xm:sqref>C3:Q3</xm:sqref>
        </x14:dataValidation>
        <x14:dataValidation type="list" allowBlank="1" showInputMessage="1" showErrorMessage="1">
          <x14:formula1>
            <xm:f>'BD Joueurs Licence'!$K$2:$K$3</xm:f>
          </x14:formula1>
          <xm:sqref>AK3:AP3</xm:sqref>
        </x14:dataValidation>
        <x14:dataValidation type="list" allowBlank="1" showInputMessage="1" showErrorMessage="1">
          <x14:formula1>
            <xm:f>'BD Joueurs Licence'!$M$2:$M$6</xm:f>
          </x14:formula1>
          <xm:sqref>AI4:AP4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M17"/>
  <sheetViews>
    <sheetView workbookViewId="0">
      <selection activeCell="I7" sqref="I7"/>
    </sheetView>
  </sheetViews>
  <sheetFormatPr baseColWidth="10" defaultColWidth="9.140625" defaultRowHeight="15" x14ac:dyDescent="0.25"/>
  <cols>
    <col min="1" max="1" width="3" bestFit="1" customWidth="1"/>
    <col min="2" max="2" width="19.42578125" customWidth="1"/>
    <col min="3" max="3" width="14.5703125" customWidth="1"/>
    <col min="4" max="4" width="9.85546875" bestFit="1" customWidth="1"/>
    <col min="5" max="5" width="29" customWidth="1"/>
    <col min="6" max="6" width="13.28515625" customWidth="1"/>
    <col min="9" max="9" width="38.85546875" bestFit="1" customWidth="1"/>
    <col min="11" max="11" width="34" bestFit="1" customWidth="1"/>
    <col min="13" max="13" width="21.85546875" bestFit="1" customWidth="1"/>
  </cols>
  <sheetData>
    <row r="1" spans="1:13" x14ac:dyDescent="0.25">
      <c r="A1" s="1"/>
      <c r="B1" s="192" t="s">
        <v>50</v>
      </c>
      <c r="C1" s="192"/>
      <c r="D1" s="192"/>
      <c r="E1" s="192" t="s">
        <v>51</v>
      </c>
      <c r="F1" s="192"/>
      <c r="G1" s="2"/>
      <c r="I1" s="1" t="s">
        <v>85</v>
      </c>
      <c r="K1" t="s">
        <v>89</v>
      </c>
      <c r="M1" t="s">
        <v>92</v>
      </c>
    </row>
    <row r="2" spans="1:13" x14ac:dyDescent="0.25">
      <c r="A2" s="8"/>
      <c r="B2" s="6" t="s">
        <v>82</v>
      </c>
      <c r="C2" s="6" t="s">
        <v>83</v>
      </c>
      <c r="D2" s="6" t="s">
        <v>84</v>
      </c>
      <c r="E2" s="6" t="s">
        <v>82</v>
      </c>
      <c r="F2" s="6" t="s">
        <v>83</v>
      </c>
      <c r="G2" s="7" t="s">
        <v>84</v>
      </c>
      <c r="I2" s="8" t="s">
        <v>86</v>
      </c>
      <c r="K2" t="s">
        <v>90</v>
      </c>
      <c r="M2" t="s">
        <v>93</v>
      </c>
    </row>
    <row r="3" spans="1:13" x14ac:dyDescent="0.25">
      <c r="A3" s="8">
        <v>1</v>
      </c>
      <c r="B3" s="6" t="s">
        <v>52</v>
      </c>
      <c r="C3" s="6">
        <v>100</v>
      </c>
      <c r="D3" s="6">
        <v>1975</v>
      </c>
      <c r="E3" s="6" t="s">
        <v>81</v>
      </c>
      <c r="F3" s="6">
        <v>1000</v>
      </c>
      <c r="G3" s="7">
        <v>1990</v>
      </c>
      <c r="I3" s="8" t="s">
        <v>102</v>
      </c>
      <c r="K3" t="s">
        <v>91</v>
      </c>
      <c r="M3" t="s">
        <v>94</v>
      </c>
    </row>
    <row r="4" spans="1:13" x14ac:dyDescent="0.25">
      <c r="A4" s="8">
        <v>2</v>
      </c>
      <c r="B4" s="6" t="s">
        <v>53</v>
      </c>
      <c r="C4" s="6">
        <v>200</v>
      </c>
      <c r="D4" s="6">
        <v>1976</v>
      </c>
      <c r="E4" s="6" t="s">
        <v>67</v>
      </c>
      <c r="F4" s="6">
        <v>2000</v>
      </c>
      <c r="G4" s="7">
        <v>1991</v>
      </c>
      <c r="I4" s="8" t="s">
        <v>100</v>
      </c>
      <c r="M4" t="s">
        <v>95</v>
      </c>
    </row>
    <row r="5" spans="1:13" x14ac:dyDescent="0.25">
      <c r="A5" s="8">
        <v>3</v>
      </c>
      <c r="B5" s="6" t="s">
        <v>54</v>
      </c>
      <c r="C5" s="6">
        <v>300</v>
      </c>
      <c r="D5" s="6">
        <v>1977</v>
      </c>
      <c r="E5" s="6" t="s">
        <v>68</v>
      </c>
      <c r="F5" s="6">
        <v>3000</v>
      </c>
      <c r="G5" s="7">
        <v>1992</v>
      </c>
      <c r="I5" s="8" t="s">
        <v>87</v>
      </c>
      <c r="M5" t="s">
        <v>96</v>
      </c>
    </row>
    <row r="6" spans="1:13" x14ac:dyDescent="0.25">
      <c r="A6" s="8">
        <v>4</v>
      </c>
      <c r="B6" s="6" t="s">
        <v>55</v>
      </c>
      <c r="C6" s="6">
        <v>400</v>
      </c>
      <c r="D6" s="6">
        <v>1978</v>
      </c>
      <c r="E6" s="6" t="s">
        <v>69</v>
      </c>
      <c r="F6" s="6">
        <v>4000</v>
      </c>
      <c r="G6" s="7">
        <v>1993</v>
      </c>
      <c r="I6" s="8" t="s">
        <v>99</v>
      </c>
      <c r="M6" t="s">
        <v>97</v>
      </c>
    </row>
    <row r="7" spans="1:13" x14ac:dyDescent="0.25">
      <c r="A7" s="8">
        <v>5</v>
      </c>
      <c r="B7" s="6" t="s">
        <v>56</v>
      </c>
      <c r="C7" s="6">
        <v>500</v>
      </c>
      <c r="D7" s="6">
        <v>1979</v>
      </c>
      <c r="E7" s="6" t="s">
        <v>70</v>
      </c>
      <c r="F7" s="6">
        <v>5000</v>
      </c>
      <c r="G7" s="7">
        <v>1994</v>
      </c>
      <c r="I7" s="8" t="s">
        <v>101</v>
      </c>
    </row>
    <row r="8" spans="1:13" x14ac:dyDescent="0.25">
      <c r="A8" s="8">
        <v>6</v>
      </c>
      <c r="B8" s="6" t="s">
        <v>57</v>
      </c>
      <c r="C8" s="6">
        <v>600</v>
      </c>
      <c r="D8" s="6">
        <v>1980</v>
      </c>
      <c r="E8" s="6" t="s">
        <v>71</v>
      </c>
      <c r="F8" s="6">
        <v>6000</v>
      </c>
      <c r="G8" s="7">
        <v>1995</v>
      </c>
      <c r="I8" s="8" t="s">
        <v>103</v>
      </c>
    </row>
    <row r="9" spans="1:13" ht="15.75" thickBot="1" x14ac:dyDescent="0.3">
      <c r="A9" s="8">
        <v>7</v>
      </c>
      <c r="B9" s="6" t="s">
        <v>58</v>
      </c>
      <c r="C9" s="6">
        <v>700</v>
      </c>
      <c r="D9" s="6">
        <v>1981</v>
      </c>
      <c r="E9" s="6" t="s">
        <v>72</v>
      </c>
      <c r="F9" s="6">
        <v>7000</v>
      </c>
      <c r="G9" s="7">
        <v>1996</v>
      </c>
      <c r="I9" s="3" t="s">
        <v>88</v>
      </c>
    </row>
    <row r="10" spans="1:13" x14ac:dyDescent="0.25">
      <c r="A10" s="8">
        <v>8</v>
      </c>
      <c r="B10" s="6" t="s">
        <v>59</v>
      </c>
      <c r="C10" s="6">
        <v>800</v>
      </c>
      <c r="D10" s="6">
        <v>1982</v>
      </c>
      <c r="E10" s="6" t="s">
        <v>73</v>
      </c>
      <c r="F10" s="6">
        <v>8000</v>
      </c>
      <c r="G10" s="7">
        <v>1997</v>
      </c>
    </row>
    <row r="11" spans="1:13" x14ac:dyDescent="0.25">
      <c r="A11" s="8">
        <v>9</v>
      </c>
      <c r="B11" s="6" t="s">
        <v>60</v>
      </c>
      <c r="C11" s="6">
        <v>900</v>
      </c>
      <c r="D11" s="6">
        <v>1983</v>
      </c>
      <c r="E11" s="6" t="s">
        <v>74</v>
      </c>
      <c r="F11" s="6">
        <v>9000</v>
      </c>
      <c r="G11" s="7">
        <v>1998</v>
      </c>
    </row>
    <row r="12" spans="1:13" x14ac:dyDescent="0.25">
      <c r="A12" s="8">
        <v>10</v>
      </c>
      <c r="B12" s="6" t="s">
        <v>61</v>
      </c>
      <c r="C12" s="6">
        <v>1000</v>
      </c>
      <c r="D12" s="6">
        <v>1984</v>
      </c>
      <c r="E12" s="6" t="s">
        <v>75</v>
      </c>
      <c r="F12" s="6">
        <v>10000</v>
      </c>
      <c r="G12" s="7">
        <v>1999</v>
      </c>
    </row>
    <row r="13" spans="1:13" x14ac:dyDescent="0.25">
      <c r="A13" s="8">
        <v>11</v>
      </c>
      <c r="B13" s="6" t="s">
        <v>62</v>
      </c>
      <c r="C13" s="6">
        <v>1100</v>
      </c>
      <c r="D13" s="6">
        <v>1985</v>
      </c>
      <c r="E13" s="6" t="s">
        <v>76</v>
      </c>
      <c r="F13" s="6">
        <v>11000</v>
      </c>
      <c r="G13" s="7">
        <v>2000</v>
      </c>
    </row>
    <row r="14" spans="1:13" x14ac:dyDescent="0.25">
      <c r="A14" s="8">
        <v>12</v>
      </c>
      <c r="B14" s="6" t="s">
        <v>63</v>
      </c>
      <c r="C14" s="6">
        <v>1200</v>
      </c>
      <c r="D14" s="6">
        <v>1986</v>
      </c>
      <c r="E14" s="6" t="s">
        <v>77</v>
      </c>
      <c r="F14" s="6">
        <v>12000</v>
      </c>
      <c r="G14" s="7">
        <v>2001</v>
      </c>
    </row>
    <row r="15" spans="1:13" x14ac:dyDescent="0.25">
      <c r="A15" s="8">
        <v>13</v>
      </c>
      <c r="B15" s="6" t="s">
        <v>64</v>
      </c>
      <c r="C15" s="6">
        <v>1300</v>
      </c>
      <c r="D15" s="6">
        <v>1987</v>
      </c>
      <c r="E15" s="6" t="s">
        <v>78</v>
      </c>
      <c r="F15" s="6">
        <v>13000</v>
      </c>
      <c r="G15" s="7">
        <v>2002</v>
      </c>
    </row>
    <row r="16" spans="1:13" x14ac:dyDescent="0.25">
      <c r="A16" s="8">
        <v>14</v>
      </c>
      <c r="B16" s="6" t="s">
        <v>65</v>
      </c>
      <c r="C16" s="6">
        <v>1400</v>
      </c>
      <c r="D16" s="6">
        <v>1988</v>
      </c>
      <c r="E16" s="6" t="s">
        <v>79</v>
      </c>
      <c r="F16" s="6">
        <v>14000</v>
      </c>
      <c r="G16" s="7">
        <v>2003</v>
      </c>
    </row>
    <row r="17" spans="1:7" ht="15.75" thickBot="1" x14ac:dyDescent="0.3">
      <c r="A17" s="3">
        <v>15</v>
      </c>
      <c r="B17" s="4" t="s">
        <v>66</v>
      </c>
      <c r="C17" s="4">
        <v>1500</v>
      </c>
      <c r="D17" s="4">
        <v>1989</v>
      </c>
      <c r="E17" s="4" t="s">
        <v>80</v>
      </c>
      <c r="F17" s="4">
        <v>15000</v>
      </c>
      <c r="G17" s="5">
        <v>2004</v>
      </c>
    </row>
  </sheetData>
  <mergeCells count="2">
    <mergeCell ref="E1:F1"/>
    <mergeCell ref="B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Feuile de Match</vt:lpstr>
      <vt:lpstr>BD Joueurs Licence</vt:lpstr>
      <vt:lpstr>'Feuile de Match'!Zone_d_impression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2026-02-17T11:35:06Z</dcterms:modified>
</cp:coreProperties>
</file>