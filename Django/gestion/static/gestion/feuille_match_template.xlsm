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belfquih-k\Documents\"/>
    </mc:Choice>
  </mc:AlternateContent>
  <bookViews>
    <workbookView xWindow="0" yWindow="0" windowWidth="24000" windowHeight="9630"/>
  </bookViews>
  <sheets>
    <sheet name="Feuile de Match" sheetId="1" r:id="rId1"/>
    <sheet name="BD Joueurs Licence" sheetId="2" r:id="rId2"/>
  </sheets>
  <calcPr calcId="162913"/>
  <extLst>
    <ext uri="GoogleSheetsCustomDataVersion2">
      <go:sheetsCustomData xmlns:go="http://customooxmlschemas.google.com/" r:id="rId7" roundtripDataChecksum="BAS+UQhYsR7dgJpxE+oEmRnso/LzQVWVZPDYQ7i+QPk="/>
    </ext>
  </extLst>
</workbook>
</file>

<file path=xl/calcChain.xml><?xml version="1.0" encoding="utf-8"?>
<calcChain xmlns="http://schemas.openxmlformats.org/spreadsheetml/2006/main">
  <c r="P49" i="1" l="1"/>
  <c r="B49" i="1"/>
  <c r="P48" i="1"/>
  <c r="B48" i="1"/>
  <c r="P47" i="1"/>
  <c r="B47" i="1"/>
  <c r="P46" i="1"/>
  <c r="B46" i="1"/>
  <c r="P45" i="1"/>
  <c r="B45" i="1"/>
  <c r="P44" i="1"/>
  <c r="B44" i="1"/>
  <c r="P43" i="1"/>
  <c r="P23" i="1"/>
  <c r="B23" i="1"/>
  <c r="P22" i="1"/>
  <c r="B22" i="1"/>
  <c r="P21" i="1"/>
  <c r="B21" i="1"/>
  <c r="P20" i="1"/>
  <c r="B20" i="1"/>
  <c r="P19" i="1"/>
  <c r="B19" i="1"/>
  <c r="P18" i="1"/>
  <c r="B18" i="1"/>
  <c r="P13" i="1"/>
  <c r="B13" i="1"/>
  <c r="P12" i="1"/>
  <c r="B12" i="1"/>
  <c r="P11" i="1"/>
  <c r="B11" i="1"/>
  <c r="P10" i="1"/>
  <c r="B10" i="1"/>
  <c r="AI5" i="1"/>
</calcChain>
</file>

<file path=xl/sharedStrings.xml><?xml version="1.0" encoding="utf-8"?>
<sst xmlns="http://schemas.openxmlformats.org/spreadsheetml/2006/main" count="150" uniqueCount="105">
  <si>
    <t>FEDERATION FRANCAISE 
DE NATATION</t>
  </si>
  <si>
    <t>Équipe :</t>
  </si>
  <si>
    <t>Bonnets</t>
  </si>
  <si>
    <t>RESULTAT
FINAL</t>
  </si>
  <si>
    <t>B</t>
  </si>
  <si>
    <t>COMPETITION :</t>
  </si>
  <si>
    <t>LIEU :</t>
  </si>
  <si>
    <t>TARBES</t>
  </si>
  <si>
    <t>CHRONO GENERAL</t>
  </si>
  <si>
    <t>TEMPS MORT / PERIODE</t>
  </si>
  <si>
    <t>N</t>
  </si>
  <si>
    <t>DATE :</t>
  </si>
  <si>
    <t>HEURE:</t>
  </si>
  <si>
    <t>à saisir</t>
  </si>
  <si>
    <t>RAPPORT DE MATCH - WATERPOLO</t>
  </si>
  <si>
    <t>IUF</t>
  </si>
  <si>
    <t>NOMS - PRÉNOMS</t>
  </si>
  <si>
    <t>NAISS.</t>
  </si>
  <si>
    <t>X</t>
  </si>
  <si>
    <t>N°</t>
  </si>
  <si>
    <t>BUTS</t>
  </si>
  <si>
    <t>Code</t>
  </si>
  <si>
    <t>Période</t>
  </si>
  <si>
    <t>SECRETAIRE :………………………………</t>
  </si>
  <si>
    <t>IUF N°:……..…..…..</t>
  </si>
  <si>
    <t>CHRONO :………..…..………………………</t>
  </si>
  <si>
    <t>IUF N°:………..…..…..</t>
  </si>
  <si>
    <t>IUF N°:…….…...…..</t>
  </si>
  <si>
    <t>30' / 20' :……….….…………………………</t>
  </si>
  <si>
    <t>IUF N°:…….…......…..</t>
  </si>
  <si>
    <t>JUGE DE BUT :………………………………</t>
  </si>
  <si>
    <t>JUGE DE BUT :.…...…………………………</t>
  </si>
  <si>
    <t>IUF N°:…….……...…..</t>
  </si>
  <si>
    <t>TEMPS</t>
  </si>
  <si>
    <t>CODE</t>
  </si>
  <si>
    <t>SCORE</t>
  </si>
  <si>
    <t>ENTRAÎNEUR</t>
  </si>
  <si>
    <t>ENTRAÎNEUR ADJOINT</t>
  </si>
  <si>
    <t>RESULTATS</t>
  </si>
  <si>
    <t>SUPPLÉANT</t>
  </si>
  <si>
    <t>1ère PERIODE</t>
  </si>
  <si>
    <t>2ème PERIODE</t>
  </si>
  <si>
    <t>3ème PERIODE</t>
  </si>
  <si>
    <t>4ème PERIODE</t>
  </si>
  <si>
    <t>PENALTY</t>
  </si>
  <si>
    <t>SIGNATURE</t>
  </si>
  <si>
    <t>DÉLÉGUÉ BLANC</t>
  </si>
  <si>
    <t>DÉLÉGUÉ NOIR</t>
  </si>
  <si>
    <t>ARBITRE</t>
  </si>
  <si>
    <t>DÉLÉGUÉ F.F.N.</t>
  </si>
  <si>
    <t>SIGNATURES DES DÉLÉGUÉS DES CLUBS (concernant les sanctions)</t>
  </si>
  <si>
    <t>Codes : E= Exclusion / B=But / P=Penalty 
EDA = Exclusion déf. avec rempl.
EDAP=Exclusion déf. Avec rempl.  Après 4min.
A=Accident / R=Réclamation / TM=Temps Mort
CJ€=Carton Jaune(Equipe) / CR=Carton Rouge</t>
  </si>
  <si>
    <t>NOTE : L'arbitre est tenu d'informer que le fait de contresigner la feuille de match ne vaut pas reconnaissance ou acceptation des
fondements de la faute infligée mais indique seulement que le délégué connait l'existence de la sanction</t>
  </si>
  <si>
    <t>BLANCS</t>
  </si>
  <si>
    <t>NOIRS</t>
  </si>
  <si>
    <t>EQUIPES CHAMPIONNAT</t>
  </si>
  <si>
    <t>COMPETITION</t>
  </si>
  <si>
    <t>LIEU</t>
  </si>
  <si>
    <t>Nom Prénom</t>
  </si>
  <si>
    <t>Licence</t>
  </si>
  <si>
    <t>Naissance</t>
  </si>
  <si>
    <t>TARBES NAUTIC CLUB</t>
  </si>
  <si>
    <t>Championnat Régional Sénior</t>
  </si>
  <si>
    <t>AA</t>
  </si>
  <si>
    <t>BA</t>
  </si>
  <si>
    <t>STADE TOULOUSAIN WATERPOLO Equipe 1</t>
  </si>
  <si>
    <t>Championnat de France N3 Occitanie</t>
  </si>
  <si>
    <t>TOULOUSE</t>
  </si>
  <si>
    <t>AB</t>
  </si>
  <si>
    <t>BB</t>
  </si>
  <si>
    <t>STADE TOULOUSAIN WATERPOLO Equipe 2</t>
  </si>
  <si>
    <t>PORTET-SUR-GARONNE</t>
  </si>
  <si>
    <t>AC</t>
  </si>
  <si>
    <t>BC</t>
  </si>
  <si>
    <t>CLUB NAUTIQUE PORTESIEN Equipe 1</t>
  </si>
  <si>
    <t>MONTPELLIER</t>
  </si>
  <si>
    <t>AD</t>
  </si>
  <si>
    <t>BD</t>
  </si>
  <si>
    <t>MONTPELLIER U21</t>
  </si>
  <si>
    <t>ALBI</t>
  </si>
  <si>
    <t>AE</t>
  </si>
  <si>
    <t>BE</t>
  </si>
  <si>
    <t>ALBI SPORTS AQUATIQUES</t>
  </si>
  <si>
    <t>AF</t>
  </si>
  <si>
    <t>BF</t>
  </si>
  <si>
    <t>SEA SUN POLO Equipe 1</t>
  </si>
  <si>
    <t>AG</t>
  </si>
  <si>
    <t>BG</t>
  </si>
  <si>
    <t>SEA SUN POLO Equipe 2</t>
  </si>
  <si>
    <t>AH</t>
  </si>
  <si>
    <t>BH</t>
  </si>
  <si>
    <t>AI</t>
  </si>
  <si>
    <t>BI</t>
  </si>
  <si>
    <t>AJ</t>
  </si>
  <si>
    <t>BJ</t>
  </si>
  <si>
    <t>AK</t>
  </si>
  <si>
    <t>BK</t>
  </si>
  <si>
    <t>AL</t>
  </si>
  <si>
    <t>BL</t>
  </si>
  <si>
    <t>AM</t>
  </si>
  <si>
    <t>BM</t>
  </si>
  <si>
    <t>AN</t>
  </si>
  <si>
    <t>BN</t>
  </si>
  <si>
    <t>AO</t>
  </si>
  <si>
    <t>BO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</si>
</sst>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m/yyyy"/>
  </numFmts>
  <fonts count="21">
    <font>
      <sz val="11"/>
      <color theme="1"/>
      <name val="Calibri"/>
      <scheme val="minor"/>
    </font>
    <font>
      <sz val="11"/>
      <color theme="1"/>
      <name val="Arial"/>
    </font>
    <font>
      <sz val="10"/>
      <color theme="1"/>
      <name val="Arial"/>
    </font>
    <font>
      <b/>
      <sz val="10"/>
      <color theme="0"/>
      <name val="Arial"/>
    </font>
    <font>
      <sz val="11"/>
      <name val="Calibri"/>
    </font>
    <font>
      <b/>
      <sz val="8"/>
      <color theme="1"/>
      <name val="Arial"/>
    </font>
    <font>
      <b/>
      <sz val="14"/>
      <color theme="1"/>
      <name val="Arial"/>
    </font>
    <font>
      <b/>
      <sz val="11"/>
      <color theme="1"/>
      <name val="Arial"/>
    </font>
    <font>
      <b/>
      <sz val="10"/>
      <color theme="1"/>
      <name val="Arial"/>
    </font>
    <font>
      <sz val="8"/>
      <color theme="1"/>
      <name val="Arial"/>
    </font>
    <font>
      <b/>
      <sz val="6"/>
      <color theme="1"/>
      <name val="Arial"/>
    </font>
    <font>
      <b/>
      <sz val="9"/>
      <color theme="1"/>
      <name val="Arial"/>
    </font>
    <font>
      <i/>
      <sz val="8"/>
      <color theme="1"/>
      <name val="Arial"/>
    </font>
    <font>
      <sz val="5"/>
      <color theme="1"/>
      <name val="Arial"/>
    </font>
    <font>
      <sz val="4"/>
      <color theme="1"/>
      <name val="Arial"/>
    </font>
    <font>
      <sz val="7"/>
      <color theme="1"/>
      <name val="Arial"/>
    </font>
    <font>
      <sz val="9"/>
      <color theme="1"/>
      <name val="Arial"/>
    </font>
    <font>
      <i/>
      <sz val="7"/>
      <color theme="1"/>
      <name val="Arial"/>
    </font>
    <font>
      <sz val="6"/>
      <color theme="1"/>
      <name val="Arial"/>
    </font>
    <font>
      <sz val="11"/>
      <color theme="1"/>
      <name val="Calibri"/>
    </font>
    <font>
      <sz val="11"/>
      <color theme="1"/>
      <name val="Calibri"/>
      <scheme val="minor"/>
    </font>
  </fonts>
  <fills count="3">
    <fill>
      <patternFill patternType="none"/>
    </fill>
    <fill>
      <patternFill patternType="gray125"/>
    </fill>
    <fill>
      <patternFill patternType="solid">
        <fgColor theme="1"/>
        <bgColor theme="1"/>
      </patternFill>
    </fill>
  </fills>
  <borders count="49">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top/>
      <bottom/>
      <diagonal/>
    </border>
    <border>
      <left/>
      <right style="thin">
        <color rgb="FF000000"/>
      </right>
      <top/>
      <bottom/>
      <diagonal/>
    </border>
    <border>
      <left style="medium">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right style="medium">
        <color rgb="FF000000"/>
      </right>
      <top style="thin">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style="medium">
        <color rgb="FF000000"/>
      </left>
      <right/>
      <top style="thin">
        <color rgb="FF000000"/>
      </top>
      <bottom style="thin">
        <color rgb="FF000000"/>
      </bottom>
      <diagonal/>
    </border>
    <border>
      <left style="thin">
        <color rgb="FF000000"/>
      </left>
      <right/>
      <top/>
      <bottom style="medium">
        <color rgb="FF000000"/>
      </bottom>
      <diagonal/>
    </border>
    <border>
      <left/>
      <right style="thin">
        <color rgb="FF000000"/>
      </right>
      <top/>
      <bottom style="medium">
        <color rgb="FF000000"/>
      </bottom>
      <diagonal/>
    </border>
    <border>
      <left style="medium">
        <color rgb="FF000000"/>
      </left>
      <right/>
      <top style="thin">
        <color rgb="FF000000"/>
      </top>
      <bottom/>
      <diagonal/>
    </border>
    <border>
      <left style="medium">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medium">
        <color rgb="FF000000"/>
      </right>
      <top/>
      <bottom style="thin">
        <color rgb="FF000000"/>
      </bottom>
      <diagonal/>
    </border>
    <border>
      <left style="thin">
        <color rgb="FF000000"/>
      </left>
      <right style="thin">
        <color rgb="FF000000"/>
      </right>
      <top/>
      <bottom style="medium">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s>
  <cellStyleXfs count="1">
    <xf numFmtId="0" fontId="0" fillId="0" borderId="0"/>
  </cellStyleXfs>
  <cellXfs count="151">
    <xf numFmtId="0" fontId="0" fillId="0" borderId="0" xfId="0" applyFont="1" applyAlignment="1"/>
    <xf numFmtId="0" fontId="1" fillId="0" borderId="0" xfId="0" applyFont="1"/>
    <xf numFmtId="0" fontId="2" fillId="0" borderId="1" xfId="0" applyFont="1" applyBorder="1" applyAlignment="1">
      <alignment horizontal="left"/>
    </xf>
    <xf numFmtId="0" fontId="1" fillId="0" borderId="2" xfId="0" applyFont="1" applyBorder="1"/>
    <xf numFmtId="0" fontId="1" fillId="0" borderId="3" xfId="0" applyFont="1" applyBorder="1"/>
    <xf numFmtId="0" fontId="1" fillId="0" borderId="1" xfId="0" applyFont="1" applyBorder="1"/>
    <xf numFmtId="0" fontId="5" fillId="0" borderId="4" xfId="0" applyFont="1" applyBorder="1" applyAlignment="1">
      <alignment horizontal="left" vertical="center"/>
    </xf>
    <xf numFmtId="0" fontId="1" fillId="0" borderId="7" xfId="0" applyFont="1" applyBorder="1"/>
    <xf numFmtId="0" fontId="8" fillId="0" borderId="0" xfId="0" applyFont="1" applyAlignment="1">
      <alignment horizontal="right" vertical="center"/>
    </xf>
    <xf numFmtId="0" fontId="1" fillId="0" borderId="8" xfId="0" applyFont="1" applyBorder="1"/>
    <xf numFmtId="0" fontId="2" fillId="0" borderId="4" xfId="0" applyFont="1" applyBorder="1" applyAlignment="1">
      <alignment horizontal="left"/>
    </xf>
    <xf numFmtId="0" fontId="1" fillId="0" borderId="0" xfId="0" applyFont="1" applyAlignment="1">
      <alignment vertical="center"/>
    </xf>
    <xf numFmtId="0" fontId="9" fillId="0" borderId="4" xfId="0" applyFont="1" applyBorder="1" applyAlignment="1">
      <alignment vertical="center"/>
    </xf>
    <xf numFmtId="0" fontId="1" fillId="0" borderId="0" xfId="0" applyFont="1" applyAlignment="1">
      <alignment horizontal="center"/>
    </xf>
    <xf numFmtId="0" fontId="11" fillId="0" borderId="0" xfId="0" applyFont="1" applyAlignment="1">
      <alignment vertical="center"/>
    </xf>
    <xf numFmtId="0" fontId="1" fillId="0" borderId="5" xfId="0" applyFont="1" applyBorder="1" applyAlignment="1">
      <alignment horizontal="center"/>
    </xf>
    <xf numFmtId="0" fontId="1" fillId="0" borderId="8" xfId="0" applyFont="1" applyBorder="1" applyAlignment="1">
      <alignment horizontal="center"/>
    </xf>
    <xf numFmtId="0" fontId="1" fillId="0" borderId="6" xfId="0" applyFont="1" applyBorder="1" applyAlignment="1">
      <alignment horizontal="center"/>
    </xf>
    <xf numFmtId="0" fontId="12" fillId="0" borderId="0" xfId="0" applyFont="1"/>
    <xf numFmtId="0" fontId="9" fillId="0" borderId="0" xfId="0" applyFont="1"/>
    <xf numFmtId="0" fontId="9" fillId="0" borderId="7" xfId="0" applyFont="1" applyBorder="1"/>
    <xf numFmtId="0" fontId="1" fillId="0" borderId="13" xfId="0" applyFont="1" applyBorder="1" applyAlignment="1">
      <alignment horizontal="center"/>
    </xf>
    <xf numFmtId="0" fontId="1" fillId="0" borderId="13" xfId="0" applyFont="1" applyBorder="1" applyAlignment="1">
      <alignment horizontal="center" vertical="center"/>
    </xf>
    <xf numFmtId="0" fontId="1" fillId="0" borderId="13" xfId="0" applyFont="1" applyBorder="1"/>
    <xf numFmtId="0" fontId="1" fillId="0" borderId="14" xfId="0" applyFont="1" applyBorder="1"/>
    <xf numFmtId="0" fontId="1" fillId="0" borderId="0" xfId="0" applyFont="1" applyAlignment="1">
      <alignment horizontal="left"/>
    </xf>
    <xf numFmtId="0" fontId="1" fillId="0" borderId="12" xfId="0" applyFont="1" applyBorder="1"/>
    <xf numFmtId="0" fontId="1" fillId="0" borderId="13" xfId="0" applyFont="1" applyBorder="1" applyAlignment="1">
      <alignment horizontal="left"/>
    </xf>
    <xf numFmtId="0" fontId="9" fillId="0" borderId="15" xfId="0" applyFont="1" applyBorder="1" applyAlignment="1">
      <alignment horizontal="center" vertical="center"/>
    </xf>
    <xf numFmtId="0" fontId="9" fillId="0" borderId="19" xfId="0" applyFont="1" applyBorder="1" applyAlignment="1">
      <alignment vertical="center"/>
    </xf>
    <xf numFmtId="0" fontId="9" fillId="0" borderId="19" xfId="0" applyFont="1" applyBorder="1" applyAlignment="1">
      <alignment horizontal="center" vertical="center"/>
    </xf>
    <xf numFmtId="0" fontId="9" fillId="0" borderId="19" xfId="0" applyFont="1" applyBorder="1" applyAlignment="1">
      <alignment horizontal="left" vertical="center"/>
    </xf>
    <xf numFmtId="0" fontId="13" fillId="0" borderId="15" xfId="0" applyFont="1" applyBorder="1" applyAlignment="1">
      <alignment horizontal="center" vertical="center"/>
    </xf>
    <xf numFmtId="0" fontId="14" fillId="0" borderId="19" xfId="0" applyFont="1" applyBorder="1" applyAlignment="1">
      <alignment horizontal="center" vertical="center"/>
    </xf>
    <xf numFmtId="0" fontId="13" fillId="0" borderId="19" xfId="0" applyFont="1" applyBorder="1" applyAlignment="1">
      <alignment horizontal="center" vertical="center"/>
    </xf>
    <xf numFmtId="47" fontId="1" fillId="0" borderId="21" xfId="0" applyNumberFormat="1" applyFont="1" applyBorder="1" applyAlignment="1">
      <alignment horizontal="center" vertical="center"/>
    </xf>
    <xf numFmtId="0" fontId="16" fillId="0" borderId="22" xfId="0" applyFont="1" applyBorder="1" applyAlignment="1">
      <alignment horizontal="center" vertical="center"/>
    </xf>
    <xf numFmtId="0" fontId="16" fillId="0" borderId="8" xfId="0" applyFont="1" applyBorder="1" applyAlignment="1">
      <alignment horizontal="center"/>
    </xf>
    <xf numFmtId="0" fontId="15" fillId="0" borderId="8" xfId="0" applyFont="1" applyBorder="1" applyAlignment="1">
      <alignment horizontal="center" vertical="center"/>
    </xf>
    <xf numFmtId="0" fontId="1" fillId="0" borderId="22" xfId="0" applyFont="1" applyBorder="1"/>
    <xf numFmtId="47" fontId="1" fillId="0" borderId="0" xfId="0" applyNumberFormat="1" applyFont="1"/>
    <xf numFmtId="0" fontId="2" fillId="0" borderId="8" xfId="0" applyFont="1" applyBorder="1" applyAlignment="1">
      <alignment horizontal="center" vertical="center"/>
    </xf>
    <xf numFmtId="0" fontId="2" fillId="0" borderId="6" xfId="0" applyFont="1" applyBorder="1" applyAlignment="1">
      <alignment horizontal="center" vertical="center"/>
    </xf>
    <xf numFmtId="0" fontId="9" fillId="0" borderId="8" xfId="0" applyFont="1" applyBorder="1" applyAlignment="1">
      <alignment horizontal="center" vertical="center"/>
    </xf>
    <xf numFmtId="0" fontId="1" fillId="0" borderId="6" xfId="0" applyFont="1" applyBorder="1"/>
    <xf numFmtId="0" fontId="16" fillId="0" borderId="27" xfId="0" applyFont="1" applyBorder="1" applyAlignment="1">
      <alignment horizontal="center" vertical="center"/>
    </xf>
    <xf numFmtId="0" fontId="1" fillId="0" borderId="31" xfId="0" applyFont="1" applyBorder="1"/>
    <xf numFmtId="0" fontId="15" fillId="0" borderId="31" xfId="0" applyFont="1" applyBorder="1" applyAlignment="1">
      <alignment horizontal="center" vertical="center"/>
    </xf>
    <xf numFmtId="0" fontId="1" fillId="0" borderId="35" xfId="0" applyFont="1" applyBorder="1"/>
    <xf numFmtId="0" fontId="1" fillId="0" borderId="23" xfId="0" applyFont="1" applyBorder="1"/>
    <xf numFmtId="0" fontId="8" fillId="0" borderId="8" xfId="0" applyFont="1" applyBorder="1" applyAlignment="1">
      <alignment horizontal="center" vertical="center"/>
    </xf>
    <xf numFmtId="0" fontId="2" fillId="0" borderId="8" xfId="0" applyFont="1" applyBorder="1" applyAlignment="1">
      <alignment horizontal="center"/>
    </xf>
    <xf numFmtId="0" fontId="1" fillId="0" borderId="48" xfId="0" applyFont="1" applyBorder="1"/>
    <xf numFmtId="0" fontId="15" fillId="0" borderId="48" xfId="0" applyFont="1" applyBorder="1" applyAlignment="1">
      <alignment horizontal="center" vertical="center"/>
    </xf>
    <xf numFmtId="0" fontId="19" fillId="0" borderId="1" xfId="0" applyFont="1" applyBorder="1"/>
    <xf numFmtId="0" fontId="19" fillId="0" borderId="3" xfId="0" applyFont="1" applyBorder="1"/>
    <xf numFmtId="0" fontId="20" fillId="0" borderId="0" xfId="0" applyFont="1"/>
    <xf numFmtId="0" fontId="19" fillId="0" borderId="4" xfId="0" applyFont="1" applyBorder="1"/>
    <xf numFmtId="0" fontId="19" fillId="0" borderId="0" xfId="0" applyFont="1"/>
    <xf numFmtId="0" fontId="19" fillId="0" borderId="7" xfId="0" applyFont="1" applyBorder="1"/>
    <xf numFmtId="0" fontId="19" fillId="0" borderId="12" xfId="0" applyFont="1" applyBorder="1"/>
    <xf numFmtId="0" fontId="19" fillId="0" borderId="13" xfId="0" applyFont="1" applyBorder="1"/>
    <xf numFmtId="0" fontId="19" fillId="0" borderId="14" xfId="0" applyFont="1" applyBorder="1"/>
    <xf numFmtId="0" fontId="3" fillId="2" borderId="1" xfId="0" applyFont="1" applyFill="1" applyBorder="1" applyAlignment="1">
      <alignment horizontal="center" vertical="center" wrapText="1"/>
    </xf>
    <xf numFmtId="0" fontId="4" fillId="0" borderId="2" xfId="0" applyFont="1" applyBorder="1"/>
    <xf numFmtId="0" fontId="4" fillId="0" borderId="3" xfId="0" applyFont="1" applyBorder="1"/>
    <xf numFmtId="0" fontId="4" fillId="0" borderId="4" xfId="0" applyFont="1" applyBorder="1"/>
    <xf numFmtId="0" fontId="0" fillId="0" borderId="0" xfId="0" applyFont="1" applyAlignment="1"/>
    <xf numFmtId="0" fontId="4" fillId="0" borderId="7" xfId="0" applyFont="1" applyBorder="1"/>
    <xf numFmtId="0" fontId="4" fillId="0" borderId="9" xfId="0" applyFont="1" applyBorder="1"/>
    <xf numFmtId="0" fontId="4" fillId="0" borderId="10" xfId="0" applyFont="1" applyBorder="1"/>
    <xf numFmtId="0" fontId="4" fillId="0" borderId="11" xfId="0" applyFont="1" applyBorder="1"/>
    <xf numFmtId="0" fontId="1" fillId="0" borderId="0" xfId="0" applyFont="1" applyAlignment="1">
      <alignment horizontal="center"/>
    </xf>
    <xf numFmtId="0" fontId="7" fillId="0" borderId="4" xfId="0" applyFont="1" applyBorder="1" applyAlignment="1">
      <alignment horizontal="center"/>
    </xf>
    <xf numFmtId="0" fontId="4" fillId="0" borderId="12" xfId="0" applyFont="1" applyBorder="1"/>
    <xf numFmtId="0" fontId="4" fillId="0" borderId="13" xfId="0" applyFont="1" applyBorder="1"/>
    <xf numFmtId="0" fontId="4" fillId="0" borderId="14" xfId="0" applyFont="1" applyBorder="1"/>
    <xf numFmtId="0" fontId="9" fillId="0" borderId="0" xfId="0" applyFont="1" applyAlignment="1">
      <alignment horizontal="left" vertical="center"/>
    </xf>
    <xf numFmtId="164" fontId="9" fillId="0" borderId="0" xfId="0" applyNumberFormat="1" applyFont="1" applyAlignment="1">
      <alignment horizontal="left" vertical="center"/>
    </xf>
    <xf numFmtId="0" fontId="9" fillId="0" borderId="0" xfId="0" applyFont="1" applyAlignment="1">
      <alignment horizontal="center"/>
    </xf>
    <xf numFmtId="0" fontId="5" fillId="0" borderId="0" xfId="0" applyFont="1" applyAlignment="1">
      <alignment horizontal="left"/>
    </xf>
    <xf numFmtId="0" fontId="5" fillId="0" borderId="0" xfId="0" applyFont="1" applyAlignment="1">
      <alignment horizontal="left" vertical="center"/>
    </xf>
    <xf numFmtId="0" fontId="6" fillId="0" borderId="5" xfId="0" applyFont="1" applyBorder="1" applyAlignment="1">
      <alignment horizontal="center" vertical="center"/>
    </xf>
    <xf numFmtId="0" fontId="4" fillId="0" borderId="6" xfId="0" applyFont="1" applyBorder="1"/>
    <xf numFmtId="0" fontId="7" fillId="0" borderId="4" xfId="0" applyFont="1" applyBorder="1" applyAlignment="1">
      <alignment horizontal="center" vertical="center" wrapText="1"/>
    </xf>
    <xf numFmtId="0" fontId="9" fillId="0" borderId="4" xfId="0" applyFont="1" applyBorder="1" applyAlignment="1">
      <alignment horizontal="left" vertical="center"/>
    </xf>
    <xf numFmtId="0" fontId="9" fillId="0" borderId="0" xfId="0" applyFont="1" applyAlignment="1">
      <alignment horizontal="left"/>
    </xf>
    <xf numFmtId="0" fontId="10" fillId="0" borderId="4" xfId="0" applyFont="1" applyBorder="1" applyAlignment="1">
      <alignment horizontal="left" vertical="center"/>
    </xf>
    <xf numFmtId="0" fontId="15" fillId="0" borderId="4" xfId="0" applyFont="1" applyBorder="1" applyAlignment="1">
      <alignment horizontal="left"/>
    </xf>
    <xf numFmtId="0" fontId="15" fillId="0" borderId="0" xfId="0" applyFont="1" applyAlignment="1">
      <alignment horizontal="left"/>
    </xf>
    <xf numFmtId="0" fontId="1" fillId="0" borderId="5" xfId="0" applyFont="1" applyBorder="1"/>
    <xf numFmtId="0" fontId="1" fillId="0" borderId="25" xfId="0" applyFont="1" applyBorder="1"/>
    <xf numFmtId="0" fontId="4" fillId="0" borderId="26" xfId="0" applyFont="1" applyBorder="1"/>
    <xf numFmtId="0" fontId="1" fillId="0" borderId="5" xfId="0" applyFont="1" applyBorder="1" applyAlignment="1">
      <alignment horizontal="center"/>
    </xf>
    <xf numFmtId="0" fontId="4" fillId="0" borderId="24" xfId="0" applyFont="1" applyBorder="1"/>
    <xf numFmtId="0" fontId="15" fillId="0" borderId="12" xfId="0" applyFont="1" applyBorder="1" applyAlignment="1">
      <alignment horizontal="left"/>
    </xf>
    <xf numFmtId="0" fontId="15" fillId="0" borderId="13" xfId="0" applyFont="1" applyBorder="1" applyAlignment="1">
      <alignment horizontal="left"/>
    </xf>
    <xf numFmtId="0" fontId="16" fillId="0" borderId="5" xfId="0" applyFont="1" applyBorder="1" applyAlignment="1">
      <alignment horizontal="left" vertical="center"/>
    </xf>
    <xf numFmtId="0" fontId="4" fillId="0" borderId="23" xfId="0" applyFont="1" applyBorder="1"/>
    <xf numFmtId="0" fontId="16" fillId="0" borderId="28" xfId="0" applyFont="1" applyBorder="1" applyAlignment="1">
      <alignment horizontal="left" vertical="center"/>
    </xf>
    <xf numFmtId="0" fontId="4" fillId="0" borderId="29" xfId="0" applyFont="1" applyBorder="1"/>
    <xf numFmtId="0" fontId="4" fillId="0" borderId="30" xfId="0" applyFont="1" applyBorder="1"/>
    <xf numFmtId="0" fontId="1" fillId="0" borderId="33" xfId="0" applyFont="1" applyBorder="1" applyAlignment="1">
      <alignment horizontal="center"/>
    </xf>
    <xf numFmtId="0" fontId="4" fillId="0" borderId="34" xfId="0" applyFont="1" applyBorder="1"/>
    <xf numFmtId="0" fontId="1" fillId="0" borderId="36" xfId="0" applyFont="1" applyBorder="1" applyAlignment="1">
      <alignment horizontal="center"/>
    </xf>
    <xf numFmtId="0" fontId="4" fillId="0" borderId="37" xfId="0" applyFont="1" applyBorder="1"/>
    <xf numFmtId="0" fontId="2" fillId="0" borderId="12" xfId="0" applyFont="1" applyBorder="1" applyAlignment="1">
      <alignment horizontal="left" vertical="top"/>
    </xf>
    <xf numFmtId="0" fontId="9" fillId="0" borderId="16" xfId="0" applyFont="1" applyBorder="1" applyAlignment="1">
      <alignment horizontal="center" vertical="center"/>
    </xf>
    <xf numFmtId="0" fontId="4" fillId="0" borderId="17" xfId="0" applyFont="1" applyBorder="1"/>
    <xf numFmtId="0" fontId="4" fillId="0" borderId="18" xfId="0" applyFont="1" applyBorder="1"/>
    <xf numFmtId="0" fontId="4" fillId="0" borderId="20" xfId="0" applyFont="1" applyBorder="1"/>
    <xf numFmtId="0" fontId="14" fillId="0" borderId="16" xfId="0" applyFont="1" applyBorder="1" applyAlignment="1">
      <alignment horizontal="center" vertical="center"/>
    </xf>
    <xf numFmtId="0" fontId="15" fillId="0" borderId="1" xfId="0" applyFont="1" applyBorder="1" applyAlignment="1">
      <alignment horizontal="left"/>
    </xf>
    <xf numFmtId="0" fontId="15" fillId="0" borderId="2" xfId="0" applyFont="1" applyBorder="1" applyAlignment="1">
      <alignment horizontal="left"/>
    </xf>
    <xf numFmtId="0" fontId="2" fillId="0" borderId="5" xfId="0" applyFont="1" applyBorder="1" applyAlignment="1">
      <alignment horizontal="center" vertical="center"/>
    </xf>
    <xf numFmtId="0" fontId="5" fillId="0" borderId="35" xfId="0" applyFont="1" applyBorder="1" applyAlignment="1">
      <alignment horizontal="center"/>
    </xf>
    <xf numFmtId="0" fontId="9" fillId="0" borderId="35" xfId="0" applyFont="1" applyBorder="1" applyAlignment="1">
      <alignment horizontal="left" vertical="center"/>
    </xf>
    <xf numFmtId="0" fontId="9" fillId="0" borderId="38" xfId="0" applyFont="1" applyBorder="1" applyAlignment="1">
      <alignment horizontal="left" vertical="center"/>
    </xf>
    <xf numFmtId="0" fontId="4" fillId="0" borderId="39" xfId="0" applyFont="1" applyBorder="1"/>
    <xf numFmtId="0" fontId="4" fillId="0" borderId="40" xfId="0" applyFont="1" applyBorder="1"/>
    <xf numFmtId="0" fontId="4" fillId="0" borderId="41" xfId="0" applyFont="1" applyBorder="1"/>
    <xf numFmtId="0" fontId="1" fillId="0" borderId="31" xfId="0" applyFont="1" applyBorder="1" applyAlignment="1">
      <alignment horizontal="center"/>
    </xf>
    <xf numFmtId="0" fontId="4" fillId="0" borderId="42" xfId="0" applyFont="1" applyBorder="1"/>
    <xf numFmtId="0" fontId="4" fillId="0" borderId="45" xfId="0" applyFont="1" applyBorder="1"/>
    <xf numFmtId="0" fontId="1" fillId="0" borderId="28" xfId="0" applyFont="1" applyBorder="1" applyAlignment="1">
      <alignment horizontal="center"/>
    </xf>
    <xf numFmtId="0" fontId="4" fillId="0" borderId="32" xfId="0" applyFont="1" applyBorder="1"/>
    <xf numFmtId="0" fontId="4" fillId="0" borderId="36" xfId="0" applyFont="1" applyBorder="1"/>
    <xf numFmtId="0" fontId="17" fillId="0" borderId="5" xfId="0" applyFont="1" applyBorder="1" applyAlignment="1">
      <alignment horizontal="left"/>
    </xf>
    <xf numFmtId="0" fontId="13" fillId="0" borderId="38" xfId="0" applyFont="1" applyBorder="1" applyAlignment="1">
      <alignment horizontal="left" wrapText="1"/>
    </xf>
    <xf numFmtId="0" fontId="1" fillId="0" borderId="30" xfId="0" applyFont="1" applyBorder="1" applyAlignment="1">
      <alignment horizontal="center"/>
    </xf>
    <xf numFmtId="0" fontId="2" fillId="0" borderId="5" xfId="0" applyFont="1" applyBorder="1" applyAlignment="1">
      <alignment horizontal="center"/>
    </xf>
    <xf numFmtId="0" fontId="2" fillId="0" borderId="5" xfId="0" applyFont="1" applyBorder="1" applyAlignment="1">
      <alignment horizontal="left"/>
    </xf>
    <xf numFmtId="0" fontId="18" fillId="0" borderId="28" xfId="0" applyFont="1" applyBorder="1" applyAlignment="1">
      <alignment horizontal="center" vertical="top"/>
    </xf>
    <xf numFmtId="0" fontId="4" fillId="0" borderId="25" xfId="0" applyFont="1" applyBorder="1"/>
    <xf numFmtId="0" fontId="4" fillId="0" borderId="43" xfId="0" applyFont="1" applyBorder="1"/>
    <xf numFmtId="0" fontId="15" fillId="0" borderId="28" xfId="0" applyFont="1" applyBorder="1" applyAlignment="1">
      <alignment horizontal="left" vertical="center" wrapText="1"/>
    </xf>
    <xf numFmtId="0" fontId="8" fillId="0" borderId="5" xfId="0" applyFont="1" applyBorder="1" applyAlignment="1">
      <alignment horizontal="center" vertical="center"/>
    </xf>
    <xf numFmtId="0" fontId="4" fillId="0" borderId="44" xfId="0" applyFont="1" applyBorder="1"/>
    <xf numFmtId="0" fontId="1" fillId="0" borderId="46" xfId="0" applyFont="1" applyBorder="1"/>
    <xf numFmtId="0" fontId="4" fillId="0" borderId="47" xfId="0" applyFont="1" applyBorder="1"/>
    <xf numFmtId="0" fontId="15" fillId="0" borderId="33" xfId="0" applyFont="1" applyBorder="1" applyAlignment="1">
      <alignment horizontal="center" vertical="center"/>
    </xf>
    <xf numFmtId="0" fontId="15" fillId="0" borderId="5" xfId="0" applyFont="1" applyBorder="1" applyAlignment="1">
      <alignment horizontal="center" vertical="center"/>
    </xf>
    <xf numFmtId="0" fontId="15" fillId="0" borderId="36" xfId="0" applyFont="1" applyBorder="1" applyAlignment="1">
      <alignment horizontal="center" vertical="center"/>
    </xf>
    <xf numFmtId="0" fontId="1" fillId="0" borderId="28" xfId="0" applyFont="1" applyBorder="1"/>
    <xf numFmtId="0" fontId="19" fillId="0" borderId="2" xfId="0" applyFont="1" applyBorder="1" applyAlignment="1">
      <alignment horizontal="center"/>
    </xf>
    <xf numFmtId="0" fontId="1" fillId="0" borderId="24" xfId="0" applyFont="1" applyBorder="1" applyAlignment="1">
      <alignment horizontal="center"/>
    </xf>
    <xf numFmtId="0" fontId="1" fillId="0" borderId="32" xfId="0" applyFont="1" applyBorder="1" applyAlignment="1">
      <alignment horizontal="center"/>
    </xf>
    <xf numFmtId="0" fontId="1" fillId="0" borderId="43" xfId="0" applyFont="1" applyBorder="1" applyAlignment="1">
      <alignment horizontal="center"/>
    </xf>
    <xf numFmtId="0" fontId="1" fillId="0" borderId="44" xfId="0" applyFont="1" applyBorder="1" applyAlignment="1">
      <alignment horizontal="center"/>
    </xf>
    <xf numFmtId="0" fontId="1" fillId="0" borderId="6" xfId="0" applyFont="1" applyBorder="1" applyAlignment="1">
      <alignment horizontal="center"/>
    </xf>
    <xf numFmtId="0" fontId="1" fillId="0" borderId="4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52</xdr:col>
      <xdr:colOff>161925</xdr:colOff>
      <xdr:row>9</xdr:row>
      <xdr:rowOff>114300</xdr:rowOff>
    </xdr:from>
    <xdr:ext cx="723900" cy="342900"/>
    <xdr:sp macro="" textlink="">
      <xdr:nvSpPr>
        <xdr:cNvPr id="3" name="Shape 3"/>
        <xdr:cNvSpPr/>
      </xdr:nvSpPr>
      <xdr:spPr>
        <a:xfrm>
          <a:off x="4998338" y="3622838"/>
          <a:ext cx="695325" cy="314325"/>
        </a:xfrm>
        <a:prstGeom prst="roundRect">
          <a:avLst>
            <a:gd name="adj" fmla="val 16667"/>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800">
              <a:solidFill>
                <a:schemeClr val="lt1"/>
              </a:solidFill>
              <a:latin typeface="Calibri"/>
              <a:ea typeface="Calibri"/>
              <a:cs typeface="Calibri"/>
              <a:sym typeface="Calibri"/>
            </a:rPr>
            <a:t>DEMARRER</a:t>
          </a:r>
          <a:endParaRPr sz="1400"/>
        </a:p>
      </xdr:txBody>
    </xdr:sp>
    <xdr:clientData fLocksWithSheet="0"/>
  </xdr:oneCellAnchor>
  <xdr:oneCellAnchor>
    <xdr:from>
      <xdr:col>55</xdr:col>
      <xdr:colOff>304800</xdr:colOff>
      <xdr:row>10</xdr:row>
      <xdr:rowOff>-9525</xdr:rowOff>
    </xdr:from>
    <xdr:ext cx="723900" cy="342900"/>
    <xdr:sp macro="" textlink="">
      <xdr:nvSpPr>
        <xdr:cNvPr id="4" name="Shape 4"/>
        <xdr:cNvSpPr/>
      </xdr:nvSpPr>
      <xdr:spPr>
        <a:xfrm>
          <a:off x="4998338" y="3622838"/>
          <a:ext cx="695325" cy="314325"/>
        </a:xfrm>
        <a:prstGeom prst="roundRect">
          <a:avLst>
            <a:gd name="adj" fmla="val 16667"/>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PAUSE</a:t>
          </a:r>
          <a:endParaRPr sz="1400"/>
        </a:p>
      </xdr:txBody>
    </xdr:sp>
    <xdr:clientData fLocksWithSheet="0"/>
  </xdr:oneCellAnchor>
  <xdr:oneCellAnchor>
    <xdr:from>
      <xdr:col>53</xdr:col>
      <xdr:colOff>533400</xdr:colOff>
      <xdr:row>18</xdr:row>
      <xdr:rowOff>0</xdr:rowOff>
    </xdr:from>
    <xdr:ext cx="723900" cy="342900"/>
    <xdr:sp macro="" textlink="">
      <xdr:nvSpPr>
        <xdr:cNvPr id="5" name="Shape 5"/>
        <xdr:cNvSpPr/>
      </xdr:nvSpPr>
      <xdr:spPr>
        <a:xfrm>
          <a:off x="4993575" y="3622838"/>
          <a:ext cx="704850" cy="314325"/>
        </a:xfrm>
        <a:prstGeom prst="roundRect">
          <a:avLst>
            <a:gd name="adj" fmla="val 16667"/>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RAZ</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E1000"/>
  <sheetViews>
    <sheetView tabSelected="1" topLeftCell="P3" zoomScale="160" zoomScaleNormal="160" workbookViewId="0">
      <selection activeCell="AX39" sqref="AX39:AY39"/>
    </sheetView>
  </sheetViews>
  <sheetFormatPr baseColWidth="10" defaultColWidth="14.42578125" defaultRowHeight="15" customHeight="1"/>
  <cols>
    <col min="1" max="1" width="5" customWidth="1"/>
    <col min="2" max="2" width="7.140625" customWidth="1"/>
    <col min="3" max="15" width="2.28515625" customWidth="1"/>
    <col min="16" max="16" width="5.85546875" customWidth="1"/>
    <col min="17" max="18" width="2.140625" customWidth="1"/>
    <col min="19" max="20" width="2.85546875" customWidth="1"/>
    <col min="21" max="24" width="1.42578125" customWidth="1"/>
    <col min="25" max="25" width="0.7109375" customWidth="1"/>
    <col min="26" max="30" width="3.7109375" customWidth="1"/>
    <col min="31" max="31" width="3.140625" customWidth="1"/>
    <col min="32" max="33" width="0.7109375" customWidth="1"/>
    <col min="34" max="34" width="6.7109375" customWidth="1"/>
    <col min="35" max="36" width="2.85546875" customWidth="1"/>
    <col min="37" max="37" width="6.7109375" customWidth="1"/>
    <col min="38" max="39" width="3.7109375" customWidth="1"/>
    <col min="40" max="40" width="6.7109375" customWidth="1"/>
    <col min="41" max="42" width="2.7109375" customWidth="1"/>
    <col min="43" max="43" width="6.7109375" customWidth="1"/>
    <col min="44" max="45" width="3.7109375" customWidth="1"/>
    <col min="46" max="46" width="6.7109375" customWidth="1"/>
    <col min="47" max="48" width="2.7109375" customWidth="1"/>
    <col min="49" max="49" width="6.7109375" customWidth="1"/>
    <col min="50" max="51" width="3.7109375" customWidth="1"/>
    <col min="52" max="52" width="4.28515625" customWidth="1"/>
    <col min="53" max="57" width="9.140625" customWidth="1"/>
  </cols>
  <sheetData>
    <row r="1" spans="1:57" ht="1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spans="1:57" ht="3.75" customHeight="1">
      <c r="A2" s="1"/>
      <c r="B2" s="2"/>
      <c r="C2" s="3"/>
      <c r="D2" s="3"/>
      <c r="E2" s="3"/>
      <c r="F2" s="3"/>
      <c r="G2" s="3"/>
      <c r="H2" s="3"/>
      <c r="I2" s="3"/>
      <c r="J2" s="3"/>
      <c r="K2" s="3"/>
      <c r="L2" s="3"/>
      <c r="M2" s="3"/>
      <c r="N2" s="3"/>
      <c r="O2" s="3"/>
      <c r="P2" s="3"/>
      <c r="Q2" s="3"/>
      <c r="R2" s="3"/>
      <c r="S2" s="3"/>
      <c r="T2" s="3"/>
      <c r="U2" s="3"/>
      <c r="V2" s="3"/>
      <c r="W2" s="3"/>
      <c r="X2" s="4"/>
      <c r="Y2" s="1"/>
      <c r="Z2" s="5"/>
      <c r="AA2" s="3"/>
      <c r="AB2" s="3"/>
      <c r="AC2" s="3"/>
      <c r="AD2" s="3"/>
      <c r="AE2" s="3"/>
      <c r="AF2" s="4"/>
      <c r="AG2" s="1"/>
      <c r="AH2" s="5"/>
      <c r="AI2" s="3"/>
      <c r="AJ2" s="3"/>
      <c r="AK2" s="3"/>
      <c r="AL2" s="3"/>
      <c r="AM2" s="3"/>
      <c r="AN2" s="3"/>
      <c r="AO2" s="3"/>
      <c r="AP2" s="4"/>
      <c r="AQ2" s="63" t="s">
        <v>0</v>
      </c>
      <c r="AR2" s="64"/>
      <c r="AS2" s="64"/>
      <c r="AT2" s="64"/>
      <c r="AU2" s="64"/>
      <c r="AV2" s="64"/>
      <c r="AW2" s="64"/>
      <c r="AX2" s="64"/>
      <c r="AY2" s="65"/>
      <c r="AZ2" s="1"/>
      <c r="BA2" s="1"/>
      <c r="BB2" s="1"/>
      <c r="BC2" s="1"/>
      <c r="BD2" s="1"/>
      <c r="BE2" s="1"/>
    </row>
    <row r="3" spans="1:57" ht="12" customHeight="1">
      <c r="A3" s="1"/>
      <c r="B3" s="6" t="s">
        <v>1</v>
      </c>
      <c r="C3" s="80"/>
      <c r="D3" s="67"/>
      <c r="E3" s="67"/>
      <c r="F3" s="67"/>
      <c r="G3" s="67"/>
      <c r="H3" s="67"/>
      <c r="I3" s="67"/>
      <c r="J3" s="67"/>
      <c r="K3" s="67"/>
      <c r="L3" s="67"/>
      <c r="M3" s="67"/>
      <c r="N3" s="67"/>
      <c r="O3" s="67"/>
      <c r="P3" s="67"/>
      <c r="Q3" s="67"/>
      <c r="R3" s="1"/>
      <c r="S3" s="81" t="s">
        <v>2</v>
      </c>
      <c r="T3" s="67"/>
      <c r="U3" s="67"/>
      <c r="V3" s="82"/>
      <c r="W3" s="83"/>
      <c r="X3" s="7"/>
      <c r="Y3" s="1"/>
      <c r="Z3" s="84" t="s">
        <v>3</v>
      </c>
      <c r="AA3" s="67"/>
      <c r="AB3" s="67"/>
      <c r="AC3" s="67"/>
      <c r="AD3" s="8" t="s">
        <v>4</v>
      </c>
      <c r="AE3" s="9"/>
      <c r="AF3" s="7"/>
      <c r="AG3" s="1"/>
      <c r="AH3" s="85" t="s">
        <v>5</v>
      </c>
      <c r="AI3" s="67"/>
      <c r="AJ3" s="67"/>
      <c r="AK3" s="86"/>
      <c r="AL3" s="67"/>
      <c r="AM3" s="67"/>
      <c r="AN3" s="67"/>
      <c r="AO3" s="67"/>
      <c r="AP3" s="68"/>
      <c r="AQ3" s="66"/>
      <c r="AR3" s="67"/>
      <c r="AS3" s="67"/>
      <c r="AT3" s="67"/>
      <c r="AU3" s="67"/>
      <c r="AV3" s="67"/>
      <c r="AW3" s="67"/>
      <c r="AX3" s="67"/>
      <c r="AY3" s="68"/>
      <c r="AZ3" s="1"/>
      <c r="BA3" s="1"/>
      <c r="BB3" s="1"/>
      <c r="BC3" s="1"/>
      <c r="BD3" s="1"/>
      <c r="BE3" s="1"/>
    </row>
    <row r="4" spans="1:57" ht="12" customHeight="1">
      <c r="A4" s="1"/>
      <c r="B4" s="10"/>
      <c r="C4" s="1"/>
      <c r="D4" s="1"/>
      <c r="E4" s="1"/>
      <c r="F4" s="1"/>
      <c r="G4" s="1"/>
      <c r="H4" s="1"/>
      <c r="I4" s="1"/>
      <c r="J4" s="1"/>
      <c r="K4" s="1"/>
      <c r="L4" s="1"/>
      <c r="M4" s="1"/>
      <c r="N4" s="1"/>
      <c r="O4" s="1"/>
      <c r="P4" s="1"/>
      <c r="Q4" s="1"/>
      <c r="R4" s="1"/>
      <c r="S4" s="1"/>
      <c r="T4" s="1"/>
      <c r="U4" s="1"/>
      <c r="V4" s="1"/>
      <c r="W4" s="1"/>
      <c r="X4" s="7"/>
      <c r="Y4" s="1"/>
      <c r="Z4" s="66"/>
      <c r="AA4" s="67"/>
      <c r="AB4" s="67"/>
      <c r="AC4" s="67"/>
      <c r="AD4" s="11"/>
      <c r="AE4" s="1"/>
      <c r="AF4" s="7"/>
      <c r="AG4" s="1"/>
      <c r="AH4" s="12" t="s">
        <v>6</v>
      </c>
      <c r="AI4" s="77" t="s">
        <v>7</v>
      </c>
      <c r="AJ4" s="67"/>
      <c r="AK4" s="67"/>
      <c r="AL4" s="67"/>
      <c r="AM4" s="67"/>
      <c r="AN4" s="67"/>
      <c r="AO4" s="67"/>
      <c r="AP4" s="68"/>
      <c r="AQ4" s="69"/>
      <c r="AR4" s="70"/>
      <c r="AS4" s="70"/>
      <c r="AT4" s="70"/>
      <c r="AU4" s="70"/>
      <c r="AV4" s="70"/>
      <c r="AW4" s="70"/>
      <c r="AX4" s="70"/>
      <c r="AY4" s="71"/>
      <c r="AZ4" s="1"/>
      <c r="BA4" s="1"/>
      <c r="BB4" s="72" t="s">
        <v>8</v>
      </c>
      <c r="BC4" s="67"/>
      <c r="BD4" s="67"/>
      <c r="BE4" s="1"/>
    </row>
    <row r="5" spans="1:57" ht="12" customHeight="1">
      <c r="A5" s="1"/>
      <c r="B5" s="87" t="s">
        <v>9</v>
      </c>
      <c r="C5" s="67"/>
      <c r="D5" s="67"/>
      <c r="E5" s="67"/>
      <c r="F5" s="67"/>
      <c r="G5" s="14"/>
      <c r="H5" s="13"/>
      <c r="I5" s="15"/>
      <c r="J5" s="16"/>
      <c r="K5" s="16"/>
      <c r="L5" s="17"/>
      <c r="M5" s="1"/>
      <c r="N5" s="1"/>
      <c r="O5" s="1"/>
      <c r="P5" s="1"/>
      <c r="Q5" s="1"/>
      <c r="R5" s="1"/>
      <c r="S5" s="1"/>
      <c r="T5" s="1"/>
      <c r="U5" s="1"/>
      <c r="V5" s="1"/>
      <c r="W5" s="1"/>
      <c r="X5" s="7"/>
      <c r="Y5" s="1"/>
      <c r="Z5" s="66"/>
      <c r="AA5" s="67"/>
      <c r="AB5" s="67"/>
      <c r="AC5" s="67"/>
      <c r="AD5" s="8" t="s">
        <v>10</v>
      </c>
      <c r="AE5" s="9"/>
      <c r="AF5" s="7"/>
      <c r="AG5" s="1"/>
      <c r="AH5" s="12" t="s">
        <v>11</v>
      </c>
      <c r="AI5" s="78">
        <f ca="1">TODAY()</f>
        <v>46185</v>
      </c>
      <c r="AJ5" s="67"/>
      <c r="AK5" s="67"/>
      <c r="AL5" s="79" t="s">
        <v>12</v>
      </c>
      <c r="AM5" s="67"/>
      <c r="AN5" s="18" t="s">
        <v>13</v>
      </c>
      <c r="AO5" s="19"/>
      <c r="AP5" s="20"/>
      <c r="AQ5" s="73" t="s">
        <v>14</v>
      </c>
      <c r="AR5" s="67"/>
      <c r="AS5" s="67"/>
      <c r="AT5" s="67"/>
      <c r="AU5" s="67"/>
      <c r="AV5" s="67"/>
      <c r="AW5" s="67"/>
      <c r="AX5" s="67"/>
      <c r="AY5" s="68"/>
      <c r="AZ5" s="1"/>
      <c r="BA5" s="1"/>
      <c r="BB5" s="67"/>
      <c r="BC5" s="67"/>
      <c r="BD5" s="67"/>
      <c r="BE5" s="1"/>
    </row>
    <row r="6" spans="1:57" ht="3.75" customHeight="1">
      <c r="A6" s="1"/>
      <c r="B6" s="106"/>
      <c r="C6" s="75"/>
      <c r="D6" s="75"/>
      <c r="E6" s="75"/>
      <c r="F6" s="75"/>
      <c r="G6" s="75"/>
      <c r="H6" s="21"/>
      <c r="I6" s="22"/>
      <c r="J6" s="22"/>
      <c r="K6" s="22"/>
      <c r="L6" s="22"/>
      <c r="M6" s="23"/>
      <c r="N6" s="23"/>
      <c r="O6" s="23"/>
      <c r="P6" s="23"/>
      <c r="Q6" s="23"/>
      <c r="R6" s="23"/>
      <c r="S6" s="23"/>
      <c r="T6" s="23"/>
      <c r="U6" s="23"/>
      <c r="V6" s="23"/>
      <c r="W6" s="23"/>
      <c r="X6" s="24"/>
      <c r="Y6" s="25"/>
      <c r="Z6" s="26"/>
      <c r="AA6" s="23"/>
      <c r="AB6" s="23"/>
      <c r="AC6" s="23"/>
      <c r="AD6" s="23"/>
      <c r="AE6" s="27"/>
      <c r="AF6" s="24"/>
      <c r="AG6" s="1"/>
      <c r="AH6" s="26"/>
      <c r="AI6" s="23"/>
      <c r="AJ6" s="23"/>
      <c r="AK6" s="23"/>
      <c r="AL6" s="23"/>
      <c r="AM6" s="23"/>
      <c r="AN6" s="23"/>
      <c r="AO6" s="23"/>
      <c r="AP6" s="24"/>
      <c r="AQ6" s="74"/>
      <c r="AR6" s="75"/>
      <c r="AS6" s="75"/>
      <c r="AT6" s="75"/>
      <c r="AU6" s="75"/>
      <c r="AV6" s="75"/>
      <c r="AW6" s="75"/>
      <c r="AX6" s="75"/>
      <c r="AY6" s="76"/>
      <c r="AZ6" s="1"/>
      <c r="BA6" s="1"/>
      <c r="BB6" s="1"/>
      <c r="BC6" s="1"/>
      <c r="BD6" s="1"/>
      <c r="BE6" s="1"/>
    </row>
    <row r="7" spans="1:57" ht="3.75" customHeight="1">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row>
    <row r="8" spans="1:57" ht="12" customHeight="1">
      <c r="A8" s="1"/>
      <c r="B8" s="28" t="s">
        <v>15</v>
      </c>
      <c r="C8" s="107" t="s">
        <v>16</v>
      </c>
      <c r="D8" s="108"/>
      <c r="E8" s="108"/>
      <c r="F8" s="108"/>
      <c r="G8" s="108"/>
      <c r="H8" s="108"/>
      <c r="I8" s="108"/>
      <c r="J8" s="108"/>
      <c r="K8" s="108"/>
      <c r="L8" s="108"/>
      <c r="M8" s="108"/>
      <c r="N8" s="108"/>
      <c r="O8" s="109"/>
      <c r="P8" s="29" t="s">
        <v>17</v>
      </c>
      <c r="Q8" s="30" t="s">
        <v>18</v>
      </c>
      <c r="R8" s="31" t="s">
        <v>19</v>
      </c>
      <c r="S8" s="107" t="s">
        <v>20</v>
      </c>
      <c r="T8" s="108"/>
      <c r="U8" s="108"/>
      <c r="V8" s="108"/>
      <c r="W8" s="108"/>
      <c r="X8" s="110"/>
      <c r="Y8" s="1"/>
      <c r="Z8" s="32" t="s">
        <v>21</v>
      </c>
      <c r="AA8" s="33" t="s">
        <v>22</v>
      </c>
      <c r="AB8" s="34" t="s">
        <v>21</v>
      </c>
      <c r="AC8" s="33" t="s">
        <v>22</v>
      </c>
      <c r="AD8" s="34" t="s">
        <v>21</v>
      </c>
      <c r="AE8" s="111" t="s">
        <v>22</v>
      </c>
      <c r="AF8" s="110"/>
      <c r="AG8" s="1"/>
      <c r="AH8" s="112" t="s">
        <v>23</v>
      </c>
      <c r="AI8" s="64"/>
      <c r="AJ8" s="64"/>
      <c r="AK8" s="64"/>
      <c r="AL8" s="64"/>
      <c r="AM8" s="64"/>
      <c r="AN8" s="113" t="s">
        <v>24</v>
      </c>
      <c r="AO8" s="64"/>
      <c r="AP8" s="65"/>
      <c r="AQ8" s="112" t="s">
        <v>25</v>
      </c>
      <c r="AR8" s="64"/>
      <c r="AS8" s="64"/>
      <c r="AT8" s="64"/>
      <c r="AU8" s="64"/>
      <c r="AV8" s="64"/>
      <c r="AW8" s="113" t="s">
        <v>26</v>
      </c>
      <c r="AX8" s="64"/>
      <c r="AY8" s="65"/>
      <c r="AZ8" s="1"/>
      <c r="BA8" s="1"/>
      <c r="BB8" s="1"/>
      <c r="BC8" s="35">
        <v>0</v>
      </c>
      <c r="BD8" s="1"/>
      <c r="BE8" s="1"/>
    </row>
    <row r="9" spans="1:57" ht="12" customHeight="1">
      <c r="A9" s="1"/>
      <c r="B9" s="36"/>
      <c r="C9" s="97"/>
      <c r="D9" s="98"/>
      <c r="E9" s="98"/>
      <c r="F9" s="98"/>
      <c r="G9" s="98"/>
      <c r="H9" s="98"/>
      <c r="I9" s="98"/>
      <c r="J9" s="98"/>
      <c r="K9" s="98"/>
      <c r="L9" s="98"/>
      <c r="M9" s="98"/>
      <c r="N9" s="98"/>
      <c r="O9" s="83"/>
      <c r="P9" s="37"/>
      <c r="Q9" s="9"/>
      <c r="R9" s="38">
        <v>1</v>
      </c>
      <c r="S9" s="9"/>
      <c r="T9" s="9"/>
      <c r="U9" s="90"/>
      <c r="V9" s="83"/>
      <c r="W9" s="90"/>
      <c r="X9" s="94"/>
      <c r="Y9" s="1"/>
      <c r="Z9" s="39"/>
      <c r="AA9" s="9"/>
      <c r="AB9" s="9"/>
      <c r="AC9" s="9"/>
      <c r="AD9" s="9"/>
      <c r="AE9" s="93"/>
      <c r="AF9" s="94"/>
      <c r="AG9" s="1"/>
      <c r="AH9" s="88" t="s">
        <v>23</v>
      </c>
      <c r="AI9" s="67"/>
      <c r="AJ9" s="67"/>
      <c r="AK9" s="67"/>
      <c r="AL9" s="67"/>
      <c r="AM9" s="67"/>
      <c r="AN9" s="89" t="s">
        <v>27</v>
      </c>
      <c r="AO9" s="67"/>
      <c r="AP9" s="68"/>
      <c r="AQ9" s="88" t="s">
        <v>28</v>
      </c>
      <c r="AR9" s="67"/>
      <c r="AS9" s="67"/>
      <c r="AT9" s="67"/>
      <c r="AU9" s="67"/>
      <c r="AV9" s="67"/>
      <c r="AW9" s="89" t="s">
        <v>29</v>
      </c>
      <c r="AX9" s="67"/>
      <c r="AY9" s="68"/>
      <c r="AZ9" s="1"/>
      <c r="BA9" s="1"/>
      <c r="BB9" s="1"/>
      <c r="BC9" s="40"/>
      <c r="BD9" s="1"/>
      <c r="BE9" s="1"/>
    </row>
    <row r="10" spans="1:57" ht="12" customHeight="1">
      <c r="A10" s="1"/>
      <c r="B10" s="36" t="str">
        <f>IF(C10="","",VLOOKUP(C10,'BD Joueurs Licence'!$B$3:$C$17,2))</f>
        <v/>
      </c>
      <c r="C10" s="97"/>
      <c r="D10" s="98"/>
      <c r="E10" s="98"/>
      <c r="F10" s="98"/>
      <c r="G10" s="98"/>
      <c r="H10" s="98"/>
      <c r="I10" s="98"/>
      <c r="J10" s="98"/>
      <c r="K10" s="98"/>
      <c r="L10" s="98"/>
      <c r="M10" s="98"/>
      <c r="N10" s="98"/>
      <c r="O10" s="83"/>
      <c r="P10" s="37" t="str">
        <f>IF(C10="","",VLOOKUP(C10,'BD Joueurs Licence'!$B$3:$D$17,3))</f>
        <v/>
      </c>
      <c r="Q10" s="9"/>
      <c r="R10" s="38">
        <v>2</v>
      </c>
      <c r="S10" s="9"/>
      <c r="T10" s="9"/>
      <c r="U10" s="91"/>
      <c r="V10" s="92"/>
      <c r="W10" s="91"/>
      <c r="X10" s="68"/>
      <c r="Y10" s="1"/>
      <c r="Z10" s="39"/>
      <c r="AA10" s="9"/>
      <c r="AB10" s="9"/>
      <c r="AC10" s="9"/>
      <c r="AD10" s="9"/>
      <c r="AE10" s="93"/>
      <c r="AF10" s="94"/>
      <c r="AG10" s="1"/>
      <c r="AH10" s="95" t="s">
        <v>30</v>
      </c>
      <c r="AI10" s="75"/>
      <c r="AJ10" s="75"/>
      <c r="AK10" s="75"/>
      <c r="AL10" s="75"/>
      <c r="AM10" s="75"/>
      <c r="AN10" s="96" t="s">
        <v>27</v>
      </c>
      <c r="AO10" s="75"/>
      <c r="AP10" s="76"/>
      <c r="AQ10" s="95" t="s">
        <v>31</v>
      </c>
      <c r="AR10" s="75"/>
      <c r="AS10" s="75"/>
      <c r="AT10" s="75"/>
      <c r="AU10" s="75"/>
      <c r="AV10" s="75"/>
      <c r="AW10" s="96" t="s">
        <v>32</v>
      </c>
      <c r="AX10" s="75"/>
      <c r="AY10" s="76"/>
      <c r="AZ10" s="1"/>
      <c r="BA10" s="1"/>
      <c r="BB10" s="1"/>
      <c r="BC10" s="1"/>
      <c r="BD10" s="1"/>
      <c r="BE10" s="1"/>
    </row>
    <row r="11" spans="1:57" ht="12" customHeight="1">
      <c r="A11" s="1"/>
      <c r="B11" s="36" t="str">
        <f>IF(C11="","",VLOOKUP(C11,'BD Joueurs Licence'!$B$3:$C$17,2))</f>
        <v/>
      </c>
      <c r="C11" s="97"/>
      <c r="D11" s="98"/>
      <c r="E11" s="98"/>
      <c r="F11" s="98"/>
      <c r="G11" s="98"/>
      <c r="H11" s="98"/>
      <c r="I11" s="98"/>
      <c r="J11" s="98"/>
      <c r="K11" s="98"/>
      <c r="L11" s="98"/>
      <c r="M11" s="98"/>
      <c r="N11" s="98"/>
      <c r="O11" s="83"/>
      <c r="P11" s="37" t="str">
        <f>IF(C11="","",VLOOKUP(C11,'BD Joueurs Licence'!$B$3:$D$17,3))</f>
        <v/>
      </c>
      <c r="Q11" s="9"/>
      <c r="R11" s="38">
        <v>3</v>
      </c>
      <c r="S11" s="9"/>
      <c r="T11" s="9"/>
      <c r="U11" s="90"/>
      <c r="V11" s="83"/>
      <c r="W11" s="90"/>
      <c r="X11" s="94"/>
      <c r="Y11" s="1"/>
      <c r="Z11" s="39"/>
      <c r="AA11" s="9"/>
      <c r="AB11" s="9"/>
      <c r="AC11" s="9"/>
      <c r="AD11" s="9"/>
      <c r="AE11" s="93"/>
      <c r="AF11" s="94"/>
      <c r="AG11" s="1"/>
      <c r="AH11" s="1"/>
      <c r="AI11" s="1"/>
      <c r="AJ11" s="1"/>
      <c r="AK11" s="1"/>
      <c r="AL11" s="1"/>
      <c r="AM11" s="1"/>
      <c r="AN11" s="1"/>
      <c r="AO11" s="1"/>
      <c r="AP11" s="1"/>
      <c r="AQ11" s="1"/>
      <c r="AR11" s="1"/>
      <c r="AS11" s="1"/>
      <c r="AT11" s="1"/>
      <c r="AU11" s="1"/>
      <c r="AV11" s="1"/>
      <c r="AW11" s="1"/>
      <c r="AX11" s="1"/>
      <c r="AY11" s="1"/>
      <c r="AZ11" s="1"/>
      <c r="BA11" s="1"/>
      <c r="BB11" s="1"/>
      <c r="BC11" s="1"/>
      <c r="BD11" s="1"/>
      <c r="BE11" s="1"/>
    </row>
    <row r="12" spans="1:57" ht="12" customHeight="1">
      <c r="A12" s="1"/>
      <c r="B12" s="36" t="str">
        <f>IF(C12="","",VLOOKUP(C12,'BD Joueurs Licence'!$B$3:$C$17,2))</f>
        <v/>
      </c>
      <c r="C12" s="97"/>
      <c r="D12" s="98"/>
      <c r="E12" s="98"/>
      <c r="F12" s="98"/>
      <c r="G12" s="98"/>
      <c r="H12" s="98"/>
      <c r="I12" s="98"/>
      <c r="J12" s="98"/>
      <c r="K12" s="98"/>
      <c r="L12" s="98"/>
      <c r="M12" s="98"/>
      <c r="N12" s="98"/>
      <c r="O12" s="83"/>
      <c r="P12" s="37" t="str">
        <f>IF(C12="","",VLOOKUP(C12,'BD Joueurs Licence'!$B$3:$D$17,3))</f>
        <v/>
      </c>
      <c r="Q12" s="9"/>
      <c r="R12" s="38">
        <v>4</v>
      </c>
      <c r="S12" s="9"/>
      <c r="T12" s="9"/>
      <c r="U12" s="91"/>
      <c r="V12" s="92"/>
      <c r="W12" s="91"/>
      <c r="X12" s="68"/>
      <c r="Y12" s="1"/>
      <c r="Z12" s="39"/>
      <c r="AA12" s="9"/>
      <c r="AB12" s="9"/>
      <c r="AC12" s="9"/>
      <c r="AD12" s="9"/>
      <c r="AE12" s="93"/>
      <c r="AF12" s="94"/>
      <c r="AG12" s="1"/>
      <c r="AH12" s="41" t="s">
        <v>33</v>
      </c>
      <c r="AI12" s="41" t="s">
        <v>4</v>
      </c>
      <c r="AJ12" s="41" t="s">
        <v>10</v>
      </c>
      <c r="AK12" s="41" t="s">
        <v>34</v>
      </c>
      <c r="AL12" s="114" t="s">
        <v>35</v>
      </c>
      <c r="AM12" s="94"/>
      <c r="AN12" s="42" t="s">
        <v>33</v>
      </c>
      <c r="AO12" s="41" t="s">
        <v>4</v>
      </c>
      <c r="AP12" s="41" t="s">
        <v>10</v>
      </c>
      <c r="AQ12" s="41" t="s">
        <v>34</v>
      </c>
      <c r="AR12" s="114" t="s">
        <v>35</v>
      </c>
      <c r="AS12" s="94"/>
      <c r="AT12" s="42" t="s">
        <v>33</v>
      </c>
      <c r="AU12" s="41" t="s">
        <v>4</v>
      </c>
      <c r="AV12" s="41" t="s">
        <v>10</v>
      </c>
      <c r="AW12" s="41" t="s">
        <v>34</v>
      </c>
      <c r="AX12" s="114" t="s">
        <v>35</v>
      </c>
      <c r="AY12" s="83"/>
      <c r="AZ12" s="1"/>
      <c r="BA12" s="1"/>
      <c r="BB12" s="1"/>
      <c r="BC12" s="1"/>
      <c r="BD12" s="1"/>
      <c r="BE12" s="1"/>
    </row>
    <row r="13" spans="1:57" ht="12" customHeight="1">
      <c r="A13" s="1"/>
      <c r="B13" s="36" t="str">
        <f>IF(C13="","",VLOOKUP(C13,'BD Joueurs Licence'!$B$3:$C$17,2))</f>
        <v/>
      </c>
      <c r="C13" s="97"/>
      <c r="D13" s="98"/>
      <c r="E13" s="98"/>
      <c r="F13" s="98"/>
      <c r="G13" s="98"/>
      <c r="H13" s="98"/>
      <c r="I13" s="98"/>
      <c r="J13" s="98"/>
      <c r="K13" s="98"/>
      <c r="L13" s="98"/>
      <c r="M13" s="98"/>
      <c r="N13" s="98"/>
      <c r="O13" s="83"/>
      <c r="P13" s="37" t="str">
        <f>IF(C13="","",VLOOKUP(C13,'BD Joueurs Licence'!$B$3:$D$17,3))</f>
        <v/>
      </c>
      <c r="Q13" s="9"/>
      <c r="R13" s="38">
        <v>5</v>
      </c>
      <c r="S13" s="9"/>
      <c r="T13" s="9"/>
      <c r="U13" s="90"/>
      <c r="V13" s="83"/>
      <c r="W13" s="90"/>
      <c r="X13" s="94"/>
      <c r="Y13" s="1"/>
      <c r="Z13" s="39"/>
      <c r="AA13" s="9"/>
      <c r="AB13" s="9"/>
      <c r="AC13" s="9"/>
      <c r="AD13" s="43"/>
      <c r="AE13" s="93"/>
      <c r="AF13" s="94"/>
      <c r="AG13" s="1"/>
      <c r="AH13" s="9"/>
      <c r="AI13" s="9"/>
      <c r="AJ13" s="9"/>
      <c r="AK13" s="9"/>
      <c r="AL13" s="93"/>
      <c r="AM13" s="145"/>
      <c r="AN13" s="44"/>
      <c r="AO13" s="9"/>
      <c r="AP13" s="9"/>
      <c r="AQ13" s="9"/>
      <c r="AR13" s="93"/>
      <c r="AS13" s="145"/>
      <c r="AT13" s="44"/>
      <c r="AU13" s="9"/>
      <c r="AV13" s="9"/>
      <c r="AW13" s="9"/>
      <c r="AX13" s="93"/>
      <c r="AY13" s="149"/>
      <c r="AZ13" s="1"/>
      <c r="BA13" s="1"/>
      <c r="BB13" s="1"/>
      <c r="BC13" s="1"/>
      <c r="BD13" s="1"/>
      <c r="BE13" s="1"/>
    </row>
    <row r="14" spans="1:57" ht="12" customHeight="1">
      <c r="A14" s="1"/>
      <c r="B14" s="36"/>
      <c r="C14" s="97"/>
      <c r="D14" s="98"/>
      <c r="E14" s="98"/>
      <c r="F14" s="98"/>
      <c r="G14" s="98"/>
      <c r="H14" s="98"/>
      <c r="I14" s="98"/>
      <c r="J14" s="98"/>
      <c r="K14" s="98"/>
      <c r="L14" s="98"/>
      <c r="M14" s="98"/>
      <c r="N14" s="98"/>
      <c r="O14" s="83"/>
      <c r="P14" s="37"/>
      <c r="Q14" s="9"/>
      <c r="R14" s="38">
        <v>6</v>
      </c>
      <c r="S14" s="9"/>
      <c r="T14" s="9"/>
      <c r="U14" s="91"/>
      <c r="V14" s="92"/>
      <c r="W14" s="91"/>
      <c r="X14" s="68"/>
      <c r="Y14" s="1"/>
      <c r="Z14" s="39"/>
      <c r="AA14" s="9"/>
      <c r="AB14" s="9"/>
      <c r="AC14" s="9"/>
      <c r="AD14" s="9"/>
      <c r="AE14" s="93"/>
      <c r="AF14" s="94"/>
      <c r="AG14" s="1"/>
      <c r="AH14" s="9"/>
      <c r="AI14" s="9"/>
      <c r="AJ14" s="9"/>
      <c r="AK14" s="9"/>
      <c r="AL14" s="93"/>
      <c r="AM14" s="145"/>
      <c r="AN14" s="44"/>
      <c r="AO14" s="9"/>
      <c r="AP14" s="9"/>
      <c r="AQ14" s="9"/>
      <c r="AR14" s="93"/>
      <c r="AS14" s="145"/>
      <c r="AT14" s="44"/>
      <c r="AU14" s="9"/>
      <c r="AV14" s="9"/>
      <c r="AW14" s="9"/>
      <c r="AX14" s="93"/>
      <c r="AY14" s="149"/>
      <c r="AZ14" s="1"/>
      <c r="BA14" s="1"/>
      <c r="BB14" s="1"/>
      <c r="BC14" s="1"/>
      <c r="BD14" s="1"/>
      <c r="BE14" s="1"/>
    </row>
    <row r="15" spans="1:57" ht="12" customHeight="1">
      <c r="A15" s="1"/>
      <c r="B15" s="36"/>
      <c r="C15" s="97"/>
      <c r="D15" s="98"/>
      <c r="E15" s="98"/>
      <c r="F15" s="98"/>
      <c r="G15" s="98"/>
      <c r="H15" s="98"/>
      <c r="I15" s="98"/>
      <c r="J15" s="98"/>
      <c r="K15" s="98"/>
      <c r="L15" s="98"/>
      <c r="M15" s="98"/>
      <c r="N15" s="98"/>
      <c r="O15" s="83"/>
      <c r="P15" s="37"/>
      <c r="Q15" s="9"/>
      <c r="R15" s="38">
        <v>7</v>
      </c>
      <c r="S15" s="9"/>
      <c r="T15" s="9"/>
      <c r="U15" s="90"/>
      <c r="V15" s="83"/>
      <c r="W15" s="90"/>
      <c r="X15" s="94"/>
      <c r="Y15" s="1"/>
      <c r="Z15" s="39"/>
      <c r="AA15" s="9"/>
      <c r="AB15" s="9"/>
      <c r="AC15" s="9"/>
      <c r="AD15" s="9"/>
      <c r="AE15" s="93"/>
      <c r="AF15" s="94"/>
      <c r="AG15" s="1"/>
      <c r="AH15" s="9"/>
      <c r="AI15" s="9"/>
      <c r="AJ15" s="9"/>
      <c r="AK15" s="9"/>
      <c r="AL15" s="93"/>
      <c r="AM15" s="145"/>
      <c r="AN15" s="44"/>
      <c r="AO15" s="9"/>
      <c r="AP15" s="9"/>
      <c r="AQ15" s="9"/>
      <c r="AR15" s="93"/>
      <c r="AS15" s="145"/>
      <c r="AT15" s="44"/>
      <c r="AU15" s="9"/>
      <c r="AV15" s="9"/>
      <c r="AW15" s="9"/>
      <c r="AX15" s="93"/>
      <c r="AY15" s="149"/>
      <c r="AZ15" s="1"/>
      <c r="BA15" s="1"/>
      <c r="BB15" s="1"/>
      <c r="BC15" s="1"/>
      <c r="BD15" s="1"/>
      <c r="BE15" s="1"/>
    </row>
    <row r="16" spans="1:57" ht="12" customHeight="1">
      <c r="A16" s="1"/>
      <c r="B16" s="36"/>
      <c r="C16" s="97"/>
      <c r="D16" s="98"/>
      <c r="E16" s="98"/>
      <c r="F16" s="98"/>
      <c r="G16" s="98"/>
      <c r="H16" s="98"/>
      <c r="I16" s="98"/>
      <c r="J16" s="98"/>
      <c r="K16" s="98"/>
      <c r="L16" s="98"/>
      <c r="M16" s="98"/>
      <c r="N16" s="98"/>
      <c r="O16" s="83"/>
      <c r="P16" s="37"/>
      <c r="Q16" s="9"/>
      <c r="R16" s="38">
        <v>8</v>
      </c>
      <c r="S16" s="9"/>
      <c r="T16" s="9"/>
      <c r="U16" s="91"/>
      <c r="V16" s="92"/>
      <c r="W16" s="91"/>
      <c r="X16" s="68"/>
      <c r="Y16" s="1"/>
      <c r="Z16" s="39"/>
      <c r="AA16" s="9"/>
      <c r="AB16" s="9"/>
      <c r="AC16" s="9"/>
      <c r="AD16" s="9"/>
      <c r="AE16" s="93"/>
      <c r="AF16" s="94"/>
      <c r="AG16" s="1"/>
      <c r="AH16" s="9"/>
      <c r="AI16" s="9"/>
      <c r="AJ16" s="9"/>
      <c r="AK16" s="9"/>
      <c r="AL16" s="93"/>
      <c r="AM16" s="145"/>
      <c r="AN16" s="44"/>
      <c r="AO16" s="9"/>
      <c r="AP16" s="9"/>
      <c r="AQ16" s="9"/>
      <c r="AR16" s="93"/>
      <c r="AS16" s="145"/>
      <c r="AT16" s="44"/>
      <c r="AU16" s="9"/>
      <c r="AV16" s="9"/>
      <c r="AW16" s="9"/>
      <c r="AX16" s="93"/>
      <c r="AY16" s="149"/>
      <c r="AZ16" s="1"/>
      <c r="BA16" s="1"/>
      <c r="BB16" s="1"/>
      <c r="BC16" s="1"/>
      <c r="BD16" s="1"/>
      <c r="BE16" s="1"/>
    </row>
    <row r="17" spans="1:57" ht="12" customHeight="1">
      <c r="A17" s="1"/>
      <c r="B17" s="36"/>
      <c r="C17" s="97"/>
      <c r="D17" s="98"/>
      <c r="E17" s="98"/>
      <c r="F17" s="98"/>
      <c r="G17" s="98"/>
      <c r="H17" s="98"/>
      <c r="I17" s="98"/>
      <c r="J17" s="98"/>
      <c r="K17" s="98"/>
      <c r="L17" s="98"/>
      <c r="M17" s="98"/>
      <c r="N17" s="98"/>
      <c r="O17" s="83"/>
      <c r="P17" s="37"/>
      <c r="Q17" s="9"/>
      <c r="R17" s="38">
        <v>9</v>
      </c>
      <c r="S17" s="9"/>
      <c r="T17" s="9"/>
      <c r="U17" s="90"/>
      <c r="V17" s="83"/>
      <c r="W17" s="90"/>
      <c r="X17" s="94"/>
      <c r="Y17" s="1"/>
      <c r="Z17" s="39"/>
      <c r="AA17" s="9"/>
      <c r="AB17" s="9"/>
      <c r="AC17" s="9"/>
      <c r="AD17" s="9"/>
      <c r="AE17" s="93"/>
      <c r="AF17" s="94"/>
      <c r="AG17" s="1"/>
      <c r="AH17" s="9"/>
      <c r="AI17" s="9"/>
      <c r="AJ17" s="9"/>
      <c r="AK17" s="9"/>
      <c r="AL17" s="93"/>
      <c r="AM17" s="145"/>
      <c r="AN17" s="44"/>
      <c r="AO17" s="9"/>
      <c r="AP17" s="9"/>
      <c r="AQ17" s="9"/>
      <c r="AR17" s="93"/>
      <c r="AS17" s="145"/>
      <c r="AT17" s="44"/>
      <c r="AU17" s="9"/>
      <c r="AV17" s="9"/>
      <c r="AW17" s="9"/>
      <c r="AX17" s="93"/>
      <c r="AY17" s="149"/>
      <c r="AZ17" s="1"/>
      <c r="BA17" s="1"/>
      <c r="BB17" s="1"/>
      <c r="BC17" s="1"/>
      <c r="BD17" s="1"/>
      <c r="BE17" s="1"/>
    </row>
    <row r="18" spans="1:57" ht="12" customHeight="1">
      <c r="A18" s="1"/>
      <c r="B18" s="36" t="str">
        <f>IF(C18="","",VLOOKUP(C18,'BD Joueurs Licence'!$B$3:$C$17,2))</f>
        <v/>
      </c>
      <c r="C18" s="97"/>
      <c r="D18" s="98"/>
      <c r="E18" s="98"/>
      <c r="F18" s="98"/>
      <c r="G18" s="98"/>
      <c r="H18" s="98"/>
      <c r="I18" s="98"/>
      <c r="J18" s="98"/>
      <c r="K18" s="98"/>
      <c r="L18" s="98"/>
      <c r="M18" s="98"/>
      <c r="N18" s="98"/>
      <c r="O18" s="83"/>
      <c r="P18" s="37" t="str">
        <f>IF(C18="","",VLOOKUP(C18,'BD Joueurs Licence'!$B$3:$D$17,3))</f>
        <v/>
      </c>
      <c r="Q18" s="9"/>
      <c r="R18" s="38">
        <v>10</v>
      </c>
      <c r="S18" s="9"/>
      <c r="T18" s="9"/>
      <c r="U18" s="91"/>
      <c r="V18" s="92"/>
      <c r="W18" s="91"/>
      <c r="X18" s="68"/>
      <c r="Y18" s="1"/>
      <c r="Z18" s="39"/>
      <c r="AA18" s="9"/>
      <c r="AB18" s="9"/>
      <c r="AC18" s="9"/>
      <c r="AD18" s="9"/>
      <c r="AE18" s="93"/>
      <c r="AF18" s="94"/>
      <c r="AG18" s="1"/>
      <c r="AH18" s="9"/>
      <c r="AI18" s="9"/>
      <c r="AJ18" s="9"/>
      <c r="AK18" s="9"/>
      <c r="AL18" s="93"/>
      <c r="AM18" s="145"/>
      <c r="AN18" s="44"/>
      <c r="AO18" s="9"/>
      <c r="AP18" s="9"/>
      <c r="AQ18" s="9"/>
      <c r="AR18" s="93"/>
      <c r="AS18" s="145"/>
      <c r="AT18" s="44"/>
      <c r="AU18" s="9"/>
      <c r="AV18" s="9"/>
      <c r="AW18" s="9"/>
      <c r="AX18" s="93"/>
      <c r="AY18" s="149"/>
      <c r="AZ18" s="1"/>
      <c r="BA18" s="1"/>
      <c r="BB18" s="1"/>
      <c r="BC18" s="1"/>
      <c r="BD18" s="1"/>
      <c r="BE18" s="1"/>
    </row>
    <row r="19" spans="1:57" ht="12" customHeight="1">
      <c r="A19" s="1"/>
      <c r="B19" s="36" t="str">
        <f>IF(C19="","",VLOOKUP(C19,'BD Joueurs Licence'!$B$3:$C$17,2))</f>
        <v/>
      </c>
      <c r="C19" s="97"/>
      <c r="D19" s="98"/>
      <c r="E19" s="98"/>
      <c r="F19" s="98"/>
      <c r="G19" s="98"/>
      <c r="H19" s="98"/>
      <c r="I19" s="98"/>
      <c r="J19" s="98"/>
      <c r="K19" s="98"/>
      <c r="L19" s="98"/>
      <c r="M19" s="98"/>
      <c r="N19" s="98"/>
      <c r="O19" s="83"/>
      <c r="P19" s="37" t="str">
        <f>IF(C19="","",VLOOKUP(C19,'BD Joueurs Licence'!$B$3:$D$17,3))</f>
        <v/>
      </c>
      <c r="Q19" s="9"/>
      <c r="R19" s="38">
        <v>11</v>
      </c>
      <c r="S19" s="9"/>
      <c r="T19" s="9"/>
      <c r="U19" s="90"/>
      <c r="V19" s="83"/>
      <c r="W19" s="90"/>
      <c r="X19" s="94"/>
      <c r="Y19" s="1"/>
      <c r="Z19" s="39"/>
      <c r="AA19" s="9"/>
      <c r="AB19" s="9"/>
      <c r="AC19" s="9"/>
      <c r="AD19" s="9"/>
      <c r="AE19" s="93"/>
      <c r="AF19" s="94"/>
      <c r="AG19" s="1"/>
      <c r="AH19" s="9"/>
      <c r="AI19" s="9"/>
      <c r="AJ19" s="9"/>
      <c r="AK19" s="9"/>
      <c r="AL19" s="93"/>
      <c r="AM19" s="145"/>
      <c r="AN19" s="44"/>
      <c r="AO19" s="9"/>
      <c r="AP19" s="9"/>
      <c r="AQ19" s="9"/>
      <c r="AR19" s="93"/>
      <c r="AS19" s="145"/>
      <c r="AT19" s="44"/>
      <c r="AU19" s="9"/>
      <c r="AV19" s="9"/>
      <c r="AW19" s="9"/>
      <c r="AX19" s="93"/>
      <c r="AY19" s="149"/>
      <c r="AZ19" s="1"/>
      <c r="BA19" s="1"/>
      <c r="BB19" s="1"/>
      <c r="BC19" s="1"/>
      <c r="BD19" s="1"/>
      <c r="BE19" s="1"/>
    </row>
    <row r="20" spans="1:57" ht="12" customHeight="1">
      <c r="A20" s="1"/>
      <c r="B20" s="36" t="str">
        <f>IF(C20="","",VLOOKUP(C20,'BD Joueurs Licence'!$B$3:$C$17,2))</f>
        <v/>
      </c>
      <c r="C20" s="97"/>
      <c r="D20" s="98"/>
      <c r="E20" s="98"/>
      <c r="F20" s="98"/>
      <c r="G20" s="98"/>
      <c r="H20" s="98"/>
      <c r="I20" s="98"/>
      <c r="J20" s="98"/>
      <c r="K20" s="98"/>
      <c r="L20" s="98"/>
      <c r="M20" s="98"/>
      <c r="N20" s="98"/>
      <c r="O20" s="83"/>
      <c r="P20" s="37" t="str">
        <f>IF(C20="","",VLOOKUP(C20,'BD Joueurs Licence'!$B$3:$D$17,3))</f>
        <v/>
      </c>
      <c r="Q20" s="9"/>
      <c r="R20" s="38">
        <v>12</v>
      </c>
      <c r="S20" s="9"/>
      <c r="T20" s="9"/>
      <c r="U20" s="91"/>
      <c r="V20" s="92"/>
      <c r="W20" s="91"/>
      <c r="X20" s="68"/>
      <c r="Y20" s="1"/>
      <c r="Z20" s="39"/>
      <c r="AA20" s="9"/>
      <c r="AB20" s="9"/>
      <c r="AC20" s="9"/>
      <c r="AD20" s="9"/>
      <c r="AE20" s="93"/>
      <c r="AF20" s="94"/>
      <c r="AG20" s="1"/>
      <c r="AH20" s="9"/>
      <c r="AI20" s="9"/>
      <c r="AJ20" s="9"/>
      <c r="AK20" s="9"/>
      <c r="AL20" s="93"/>
      <c r="AM20" s="145"/>
      <c r="AN20" s="44"/>
      <c r="AO20" s="9"/>
      <c r="AP20" s="9"/>
      <c r="AQ20" s="9"/>
      <c r="AR20" s="93"/>
      <c r="AS20" s="145"/>
      <c r="AT20" s="44"/>
      <c r="AU20" s="9"/>
      <c r="AV20" s="9"/>
      <c r="AW20" s="9"/>
      <c r="AX20" s="93"/>
      <c r="AY20" s="149"/>
      <c r="AZ20" s="1"/>
      <c r="BA20" s="1"/>
      <c r="BB20" s="1"/>
      <c r="BC20" s="1"/>
      <c r="BD20" s="1"/>
      <c r="BE20" s="1"/>
    </row>
    <row r="21" spans="1:57" ht="12" customHeight="1">
      <c r="A21" s="1"/>
      <c r="B21" s="36" t="str">
        <f>IF(C21="","",VLOOKUP(C21,'BD Joueurs Licence'!$B$3:$C$17,2))</f>
        <v/>
      </c>
      <c r="C21" s="97"/>
      <c r="D21" s="98"/>
      <c r="E21" s="98"/>
      <c r="F21" s="98"/>
      <c r="G21" s="98"/>
      <c r="H21" s="98"/>
      <c r="I21" s="98"/>
      <c r="J21" s="98"/>
      <c r="K21" s="98"/>
      <c r="L21" s="98"/>
      <c r="M21" s="98"/>
      <c r="N21" s="98"/>
      <c r="O21" s="83"/>
      <c r="P21" s="37" t="str">
        <f>IF(C21="","",VLOOKUP(C21,'BD Joueurs Licence'!$B$3:$D$17,3))</f>
        <v/>
      </c>
      <c r="Q21" s="9"/>
      <c r="R21" s="38">
        <v>13</v>
      </c>
      <c r="S21" s="9"/>
      <c r="T21" s="9"/>
      <c r="U21" s="90"/>
      <c r="V21" s="83"/>
      <c r="W21" s="90"/>
      <c r="X21" s="94"/>
      <c r="Y21" s="1"/>
      <c r="Z21" s="39"/>
      <c r="AA21" s="9"/>
      <c r="AB21" s="9"/>
      <c r="AC21" s="9"/>
      <c r="AD21" s="9"/>
      <c r="AE21" s="93"/>
      <c r="AF21" s="94"/>
      <c r="AG21" s="1"/>
      <c r="AH21" s="9"/>
      <c r="AI21" s="9"/>
      <c r="AJ21" s="9"/>
      <c r="AK21" s="9"/>
      <c r="AL21" s="93"/>
      <c r="AM21" s="145"/>
      <c r="AN21" s="44"/>
      <c r="AO21" s="9"/>
      <c r="AP21" s="9"/>
      <c r="AQ21" s="9"/>
      <c r="AR21" s="93"/>
      <c r="AS21" s="145"/>
      <c r="AT21" s="44"/>
      <c r="AU21" s="9"/>
      <c r="AV21" s="9"/>
      <c r="AW21" s="9"/>
      <c r="AX21" s="93"/>
      <c r="AY21" s="149"/>
      <c r="AZ21" s="1"/>
      <c r="BA21" s="1"/>
      <c r="BB21" s="1"/>
      <c r="BC21" s="1"/>
      <c r="BD21" s="1"/>
      <c r="BE21" s="1"/>
    </row>
    <row r="22" spans="1:57" ht="12" customHeight="1">
      <c r="A22" s="1"/>
      <c r="B22" s="36" t="str">
        <f>IF(C22="","",VLOOKUP(C22,'BD Joueurs Licence'!$B$3:$C$17,2))</f>
        <v/>
      </c>
      <c r="C22" s="97"/>
      <c r="D22" s="98"/>
      <c r="E22" s="98"/>
      <c r="F22" s="98"/>
      <c r="G22" s="98"/>
      <c r="H22" s="98"/>
      <c r="I22" s="98"/>
      <c r="J22" s="98"/>
      <c r="K22" s="98"/>
      <c r="L22" s="98"/>
      <c r="M22" s="98"/>
      <c r="N22" s="98"/>
      <c r="O22" s="83"/>
      <c r="P22" s="37" t="str">
        <f>IF(C22="","",VLOOKUP(C22,'BD Joueurs Licence'!$B$3:$D$17,3))</f>
        <v/>
      </c>
      <c r="Q22" s="9"/>
      <c r="R22" s="38">
        <v>14</v>
      </c>
      <c r="S22" s="9"/>
      <c r="T22" s="9"/>
      <c r="U22" s="91"/>
      <c r="V22" s="92"/>
      <c r="W22" s="91"/>
      <c r="X22" s="68"/>
      <c r="Y22" s="1"/>
      <c r="Z22" s="39"/>
      <c r="AA22" s="9"/>
      <c r="AB22" s="9"/>
      <c r="AC22" s="9"/>
      <c r="AD22" s="9"/>
      <c r="AE22" s="93"/>
      <c r="AF22" s="94"/>
      <c r="AG22" s="1"/>
      <c r="AH22" s="9"/>
      <c r="AI22" s="9"/>
      <c r="AJ22" s="9"/>
      <c r="AK22" s="9"/>
      <c r="AL22" s="93"/>
      <c r="AM22" s="145"/>
      <c r="AN22" s="44"/>
      <c r="AO22" s="9"/>
      <c r="AP22" s="9"/>
      <c r="AQ22" s="9"/>
      <c r="AR22" s="93"/>
      <c r="AS22" s="145"/>
      <c r="AT22" s="44"/>
      <c r="AU22" s="9"/>
      <c r="AV22" s="9"/>
      <c r="AW22" s="9"/>
      <c r="AX22" s="93"/>
      <c r="AY22" s="149"/>
      <c r="AZ22" s="1"/>
      <c r="BA22" s="1"/>
      <c r="BB22" s="1"/>
      <c r="BC22" s="1"/>
      <c r="BD22" s="1"/>
      <c r="BE22" s="1"/>
    </row>
    <row r="23" spans="1:57" ht="12" customHeight="1">
      <c r="A23" s="1"/>
      <c r="B23" s="45" t="str">
        <f>IF(C23="","",VLOOKUP(C23,'BD Joueurs Licence'!$B$3:$C$17,2))</f>
        <v/>
      </c>
      <c r="C23" s="99"/>
      <c r="D23" s="100"/>
      <c r="E23" s="100"/>
      <c r="F23" s="100"/>
      <c r="G23" s="100"/>
      <c r="H23" s="100"/>
      <c r="I23" s="100"/>
      <c r="J23" s="100"/>
      <c r="K23" s="100"/>
      <c r="L23" s="100"/>
      <c r="M23" s="100"/>
      <c r="N23" s="100"/>
      <c r="O23" s="101"/>
      <c r="P23" s="37" t="str">
        <f>IF(C23="","",VLOOKUP(C23,'BD Joueurs Licence'!$B$3:$D$17,3))</f>
        <v/>
      </c>
      <c r="Q23" s="46"/>
      <c r="R23" s="47">
        <v>15</v>
      </c>
      <c r="S23" s="46"/>
      <c r="T23" s="46"/>
      <c r="U23" s="143"/>
      <c r="V23" s="101"/>
      <c r="W23" s="143"/>
      <c r="X23" s="125"/>
      <c r="Y23" s="1"/>
      <c r="Z23" s="39"/>
      <c r="AA23" s="9"/>
      <c r="AB23" s="9"/>
      <c r="AC23" s="9"/>
      <c r="AD23" s="9"/>
      <c r="AE23" s="93"/>
      <c r="AF23" s="94"/>
      <c r="AG23" s="1"/>
      <c r="AH23" s="9"/>
      <c r="AI23" s="9"/>
      <c r="AJ23" s="9"/>
      <c r="AK23" s="9"/>
      <c r="AL23" s="93"/>
      <c r="AM23" s="145"/>
      <c r="AN23" s="44"/>
      <c r="AO23" s="9"/>
      <c r="AP23" s="9"/>
      <c r="AQ23" s="9"/>
      <c r="AR23" s="93"/>
      <c r="AS23" s="145"/>
      <c r="AT23" s="44"/>
      <c r="AU23" s="9"/>
      <c r="AV23" s="9"/>
      <c r="AW23" s="9"/>
      <c r="AX23" s="93"/>
      <c r="AY23" s="149"/>
      <c r="AZ23" s="1"/>
      <c r="BA23" s="1"/>
      <c r="BB23" s="1"/>
      <c r="BC23" s="1"/>
      <c r="BD23" s="1"/>
      <c r="BE23" s="1"/>
    </row>
    <row r="24" spans="1:57" ht="12" customHeight="1">
      <c r="A24" s="1"/>
      <c r="B24" s="5"/>
      <c r="C24" s="102"/>
      <c r="D24" s="64"/>
      <c r="E24" s="64"/>
      <c r="F24" s="64"/>
      <c r="G24" s="64"/>
      <c r="H24" s="64"/>
      <c r="I24" s="64"/>
      <c r="J24" s="64"/>
      <c r="K24" s="64"/>
      <c r="L24" s="64"/>
      <c r="M24" s="64"/>
      <c r="N24" s="64"/>
      <c r="O24" s="103"/>
      <c r="P24" s="3"/>
      <c r="Q24" s="140" t="s">
        <v>36</v>
      </c>
      <c r="R24" s="64"/>
      <c r="S24" s="64"/>
      <c r="T24" s="64"/>
      <c r="U24" s="64"/>
      <c r="V24" s="64"/>
      <c r="W24" s="64"/>
      <c r="X24" s="65"/>
      <c r="Y24" s="1"/>
      <c r="Z24" s="39"/>
      <c r="AA24" s="9"/>
      <c r="AB24" s="9"/>
      <c r="AC24" s="9"/>
      <c r="AD24" s="9"/>
      <c r="AE24" s="93"/>
      <c r="AF24" s="94"/>
      <c r="AG24" s="1"/>
      <c r="AH24" s="9"/>
      <c r="AI24" s="9"/>
      <c r="AJ24" s="9"/>
      <c r="AK24" s="9"/>
      <c r="AL24" s="93"/>
      <c r="AM24" s="145"/>
      <c r="AN24" s="44"/>
      <c r="AO24" s="9"/>
      <c r="AP24" s="9"/>
      <c r="AQ24" s="9"/>
      <c r="AR24" s="93"/>
      <c r="AS24" s="145"/>
      <c r="AT24" s="44"/>
      <c r="AU24" s="9"/>
      <c r="AV24" s="9"/>
      <c r="AW24" s="9"/>
      <c r="AX24" s="93"/>
      <c r="AY24" s="149"/>
      <c r="AZ24" s="1"/>
      <c r="BA24" s="1"/>
      <c r="BB24" s="1"/>
      <c r="BC24" s="1"/>
      <c r="BD24" s="1"/>
      <c r="BE24" s="1"/>
    </row>
    <row r="25" spans="1:57" ht="12" customHeight="1">
      <c r="A25" s="1"/>
      <c r="B25" s="48"/>
      <c r="C25" s="93"/>
      <c r="D25" s="98"/>
      <c r="E25" s="98"/>
      <c r="F25" s="98"/>
      <c r="G25" s="98"/>
      <c r="H25" s="98"/>
      <c r="I25" s="98"/>
      <c r="J25" s="98"/>
      <c r="K25" s="98"/>
      <c r="L25" s="98"/>
      <c r="M25" s="98"/>
      <c r="N25" s="98"/>
      <c r="O25" s="83"/>
      <c r="P25" s="49"/>
      <c r="Q25" s="141" t="s">
        <v>37</v>
      </c>
      <c r="R25" s="98"/>
      <c r="S25" s="98"/>
      <c r="T25" s="98"/>
      <c r="U25" s="98"/>
      <c r="V25" s="98"/>
      <c r="W25" s="98"/>
      <c r="X25" s="94"/>
      <c r="Y25" s="1"/>
      <c r="Z25" s="115" t="s">
        <v>38</v>
      </c>
      <c r="AA25" s="98"/>
      <c r="AB25" s="98"/>
      <c r="AC25" s="83"/>
      <c r="AD25" s="50" t="s">
        <v>4</v>
      </c>
      <c r="AE25" s="136" t="s">
        <v>10</v>
      </c>
      <c r="AF25" s="94"/>
      <c r="AG25" s="1"/>
      <c r="AH25" s="9"/>
      <c r="AI25" s="9"/>
      <c r="AJ25" s="9"/>
      <c r="AK25" s="9"/>
      <c r="AL25" s="93"/>
      <c r="AM25" s="145"/>
      <c r="AN25" s="44"/>
      <c r="AO25" s="9"/>
      <c r="AP25" s="9"/>
      <c r="AQ25" s="9"/>
      <c r="AR25" s="93"/>
      <c r="AS25" s="145"/>
      <c r="AT25" s="44"/>
      <c r="AU25" s="9"/>
      <c r="AV25" s="9"/>
      <c r="AW25" s="9"/>
      <c r="AX25" s="93"/>
      <c r="AY25" s="149"/>
      <c r="AZ25" s="1"/>
      <c r="BA25" s="1"/>
      <c r="BB25" s="1"/>
      <c r="BC25" s="1"/>
      <c r="BD25" s="1"/>
      <c r="BE25" s="1"/>
    </row>
    <row r="26" spans="1:57" ht="12" customHeight="1">
      <c r="A26" s="1"/>
      <c r="B26" s="26"/>
      <c r="C26" s="104"/>
      <c r="D26" s="75"/>
      <c r="E26" s="75"/>
      <c r="F26" s="75"/>
      <c r="G26" s="75"/>
      <c r="H26" s="75"/>
      <c r="I26" s="75"/>
      <c r="J26" s="75"/>
      <c r="K26" s="75"/>
      <c r="L26" s="75"/>
      <c r="M26" s="75"/>
      <c r="N26" s="75"/>
      <c r="O26" s="105"/>
      <c r="P26" s="23"/>
      <c r="Q26" s="142" t="s">
        <v>39</v>
      </c>
      <c r="R26" s="75"/>
      <c r="S26" s="75"/>
      <c r="T26" s="75"/>
      <c r="U26" s="75"/>
      <c r="V26" s="75"/>
      <c r="W26" s="75"/>
      <c r="X26" s="76"/>
      <c r="Y26" s="1"/>
      <c r="Z26" s="116" t="s">
        <v>40</v>
      </c>
      <c r="AA26" s="98"/>
      <c r="AB26" s="98"/>
      <c r="AC26" s="83"/>
      <c r="AD26" s="9"/>
      <c r="AE26" s="93"/>
      <c r="AF26" s="94"/>
      <c r="AG26" s="1"/>
      <c r="AH26" s="9"/>
      <c r="AI26" s="9"/>
      <c r="AJ26" s="9"/>
      <c r="AK26" s="9"/>
      <c r="AL26" s="93"/>
      <c r="AM26" s="145"/>
      <c r="AN26" s="44"/>
      <c r="AO26" s="9"/>
      <c r="AP26" s="9"/>
      <c r="AQ26" s="9"/>
      <c r="AR26" s="93"/>
      <c r="AS26" s="145"/>
      <c r="AT26" s="44"/>
      <c r="AU26" s="9"/>
      <c r="AV26" s="9"/>
      <c r="AW26" s="9"/>
      <c r="AX26" s="93"/>
      <c r="AY26" s="149"/>
      <c r="AZ26" s="1"/>
      <c r="BA26" s="1"/>
      <c r="BB26" s="1"/>
      <c r="BC26" s="1"/>
      <c r="BD26" s="1"/>
      <c r="BE26" s="1"/>
    </row>
    <row r="27" spans="1:57" ht="8.25" customHeight="1">
      <c r="A27" s="1"/>
      <c r="B27" s="1"/>
      <c r="C27" s="1"/>
      <c r="D27" s="1"/>
      <c r="E27" s="1"/>
      <c r="F27" s="1"/>
      <c r="G27" s="1"/>
      <c r="H27" s="1"/>
      <c r="I27" s="1"/>
      <c r="J27" s="1"/>
      <c r="K27" s="1"/>
      <c r="L27" s="1"/>
      <c r="M27" s="1"/>
      <c r="N27" s="1"/>
      <c r="O27" s="1"/>
      <c r="P27" s="1"/>
      <c r="Q27" s="1"/>
      <c r="R27" s="1"/>
      <c r="S27" s="1"/>
      <c r="T27" s="1"/>
      <c r="U27" s="1"/>
      <c r="V27" s="1"/>
      <c r="W27" s="1"/>
      <c r="X27" s="1"/>
      <c r="Y27" s="1"/>
      <c r="Z27" s="117" t="s">
        <v>41</v>
      </c>
      <c r="AA27" s="100"/>
      <c r="AB27" s="100"/>
      <c r="AC27" s="101"/>
      <c r="AD27" s="121"/>
      <c r="AE27" s="124"/>
      <c r="AF27" s="125"/>
      <c r="AG27" s="1"/>
      <c r="AH27" s="121"/>
      <c r="AI27" s="121"/>
      <c r="AJ27" s="121"/>
      <c r="AK27" s="121"/>
      <c r="AL27" s="124"/>
      <c r="AM27" s="146"/>
      <c r="AN27" s="129"/>
      <c r="AO27" s="121"/>
      <c r="AP27" s="121"/>
      <c r="AQ27" s="121"/>
      <c r="AR27" s="124"/>
      <c r="AS27" s="146"/>
      <c r="AT27" s="129"/>
      <c r="AU27" s="121"/>
      <c r="AV27" s="121"/>
      <c r="AW27" s="121"/>
      <c r="AX27" s="124"/>
      <c r="AY27" s="129"/>
      <c r="AZ27" s="1"/>
      <c r="BA27" s="1"/>
      <c r="BB27" s="1"/>
      <c r="BC27" s="1"/>
      <c r="BD27" s="1"/>
      <c r="BE27" s="1"/>
    </row>
    <row r="28" spans="1:57" ht="3.75" customHeight="1">
      <c r="A28" s="1"/>
      <c r="B28" s="2"/>
      <c r="C28" s="3"/>
      <c r="D28" s="3"/>
      <c r="E28" s="3"/>
      <c r="F28" s="3"/>
      <c r="G28" s="3"/>
      <c r="H28" s="3"/>
      <c r="I28" s="3"/>
      <c r="J28" s="3"/>
      <c r="K28" s="3"/>
      <c r="L28" s="3"/>
      <c r="M28" s="3"/>
      <c r="N28" s="3"/>
      <c r="O28" s="3"/>
      <c r="P28" s="3"/>
      <c r="Q28" s="3"/>
      <c r="R28" s="3"/>
      <c r="S28" s="3"/>
      <c r="T28" s="3"/>
      <c r="U28" s="3"/>
      <c r="V28" s="3"/>
      <c r="W28" s="3"/>
      <c r="X28" s="4"/>
      <c r="Y28" s="1"/>
      <c r="Z28" s="118"/>
      <c r="AA28" s="119"/>
      <c r="AB28" s="119"/>
      <c r="AC28" s="120"/>
      <c r="AD28" s="122"/>
      <c r="AE28" s="134"/>
      <c r="AF28" s="137"/>
      <c r="AG28" s="1"/>
      <c r="AH28" s="122"/>
      <c r="AI28" s="122"/>
      <c r="AJ28" s="122"/>
      <c r="AK28" s="122"/>
      <c r="AL28" s="147"/>
      <c r="AM28" s="148"/>
      <c r="AN28" s="120"/>
      <c r="AO28" s="122"/>
      <c r="AP28" s="122"/>
      <c r="AQ28" s="122"/>
      <c r="AR28" s="147"/>
      <c r="AS28" s="148"/>
      <c r="AT28" s="120"/>
      <c r="AU28" s="122"/>
      <c r="AV28" s="122"/>
      <c r="AW28" s="122"/>
      <c r="AX28" s="147"/>
      <c r="AY28" s="150"/>
      <c r="AZ28" s="1"/>
      <c r="BA28" s="1"/>
      <c r="BB28" s="1"/>
      <c r="BC28" s="1"/>
      <c r="BD28" s="1"/>
      <c r="BE28" s="1"/>
    </row>
    <row r="29" spans="1:57" ht="12" customHeight="1">
      <c r="A29" s="1"/>
      <c r="B29" s="6" t="s">
        <v>1</v>
      </c>
      <c r="C29" s="80"/>
      <c r="D29" s="67"/>
      <c r="E29" s="67"/>
      <c r="F29" s="67"/>
      <c r="G29" s="67"/>
      <c r="H29" s="67"/>
      <c r="I29" s="67"/>
      <c r="J29" s="67"/>
      <c r="K29" s="67"/>
      <c r="L29" s="67"/>
      <c r="M29" s="67"/>
      <c r="N29" s="67"/>
      <c r="O29" s="67"/>
      <c r="P29" s="67"/>
      <c r="Q29" s="67"/>
      <c r="R29" s="1"/>
      <c r="S29" s="81" t="s">
        <v>2</v>
      </c>
      <c r="T29" s="67"/>
      <c r="U29" s="67"/>
      <c r="V29" s="82"/>
      <c r="W29" s="83"/>
      <c r="X29" s="7"/>
      <c r="Y29" s="1"/>
      <c r="Z29" s="116" t="s">
        <v>42</v>
      </c>
      <c r="AA29" s="98"/>
      <c r="AB29" s="98"/>
      <c r="AC29" s="83"/>
      <c r="AD29" s="9"/>
      <c r="AE29" s="93"/>
      <c r="AF29" s="94"/>
      <c r="AG29" s="1"/>
      <c r="AH29" s="9"/>
      <c r="AI29" s="9"/>
      <c r="AJ29" s="9"/>
      <c r="AK29" s="9"/>
      <c r="AL29" s="93"/>
      <c r="AM29" s="145"/>
      <c r="AN29" s="44"/>
      <c r="AO29" s="9"/>
      <c r="AP29" s="9"/>
      <c r="AQ29" s="9"/>
      <c r="AR29" s="93"/>
      <c r="AS29" s="145"/>
      <c r="AT29" s="44"/>
      <c r="AU29" s="9"/>
      <c r="AV29" s="9"/>
      <c r="AW29" s="9"/>
      <c r="AX29" s="93"/>
      <c r="AY29" s="149"/>
      <c r="AZ29" s="1"/>
      <c r="BA29" s="1"/>
      <c r="BB29" s="1"/>
      <c r="BC29" s="1"/>
      <c r="BD29" s="1"/>
      <c r="BE29" s="1"/>
    </row>
    <row r="30" spans="1:57" ht="12" customHeight="1">
      <c r="A30" s="1"/>
      <c r="B30" s="10"/>
      <c r="C30" s="1"/>
      <c r="D30" s="1"/>
      <c r="E30" s="1"/>
      <c r="F30" s="1"/>
      <c r="G30" s="1"/>
      <c r="H30" s="1"/>
      <c r="I30" s="1"/>
      <c r="J30" s="1"/>
      <c r="K30" s="1"/>
      <c r="L30" s="1"/>
      <c r="M30" s="1"/>
      <c r="N30" s="1"/>
      <c r="O30" s="1"/>
      <c r="P30" s="1"/>
      <c r="Q30" s="1"/>
      <c r="R30" s="1"/>
      <c r="S30" s="1"/>
      <c r="T30" s="1"/>
      <c r="U30" s="1"/>
      <c r="V30" s="1"/>
      <c r="W30" s="1"/>
      <c r="X30" s="7"/>
      <c r="Y30" s="1"/>
      <c r="Z30" s="116" t="s">
        <v>43</v>
      </c>
      <c r="AA30" s="98"/>
      <c r="AB30" s="98"/>
      <c r="AC30" s="83"/>
      <c r="AD30" s="9"/>
      <c r="AE30" s="93"/>
      <c r="AF30" s="94"/>
      <c r="AG30" s="1"/>
      <c r="AH30" s="9"/>
      <c r="AI30" s="9"/>
      <c r="AJ30" s="9"/>
      <c r="AK30" s="9"/>
      <c r="AL30" s="93"/>
      <c r="AM30" s="145"/>
      <c r="AN30" s="44"/>
      <c r="AO30" s="9"/>
      <c r="AP30" s="9"/>
      <c r="AQ30" s="9"/>
      <c r="AR30" s="93"/>
      <c r="AS30" s="145"/>
      <c r="AT30" s="44"/>
      <c r="AU30" s="9"/>
      <c r="AV30" s="9"/>
      <c r="AW30" s="9"/>
      <c r="AX30" s="93"/>
      <c r="AY30" s="149"/>
      <c r="AZ30" s="1"/>
      <c r="BA30" s="1"/>
      <c r="BB30" s="1"/>
      <c r="BC30" s="1"/>
      <c r="BD30" s="1"/>
      <c r="BE30" s="1"/>
    </row>
    <row r="31" spans="1:57" ht="12" customHeight="1">
      <c r="A31" s="1"/>
      <c r="B31" s="87" t="s">
        <v>9</v>
      </c>
      <c r="C31" s="67"/>
      <c r="D31" s="67"/>
      <c r="E31" s="67"/>
      <c r="F31" s="67"/>
      <c r="G31" s="14"/>
      <c r="H31" s="13"/>
      <c r="I31" s="15"/>
      <c r="J31" s="16"/>
      <c r="K31" s="16"/>
      <c r="L31" s="17"/>
      <c r="M31" s="1"/>
      <c r="N31" s="1"/>
      <c r="O31" s="1"/>
      <c r="P31" s="1"/>
      <c r="Q31" s="1"/>
      <c r="R31" s="1"/>
      <c r="S31" s="1"/>
      <c r="T31" s="1"/>
      <c r="U31" s="1"/>
      <c r="V31" s="1"/>
      <c r="W31" s="1"/>
      <c r="X31" s="7"/>
      <c r="Y31" s="1"/>
      <c r="Z31" s="117" t="s">
        <v>44</v>
      </c>
      <c r="AA31" s="100"/>
      <c r="AB31" s="100"/>
      <c r="AC31" s="101"/>
      <c r="AD31" s="121"/>
      <c r="AE31" s="124"/>
      <c r="AF31" s="125"/>
      <c r="AG31" s="1"/>
      <c r="AH31" s="9"/>
      <c r="AI31" s="9"/>
      <c r="AJ31" s="9"/>
      <c r="AK31" s="9"/>
      <c r="AL31" s="93"/>
      <c r="AM31" s="145"/>
      <c r="AN31" s="44"/>
      <c r="AO31" s="9"/>
      <c r="AP31" s="9"/>
      <c r="AQ31" s="9"/>
      <c r="AR31" s="93"/>
      <c r="AS31" s="145"/>
      <c r="AT31" s="44"/>
      <c r="AU31" s="9"/>
      <c r="AV31" s="9"/>
      <c r="AW31" s="9"/>
      <c r="AX31" s="93"/>
      <c r="AY31" s="149"/>
      <c r="AZ31" s="1"/>
      <c r="BA31" s="1"/>
      <c r="BB31" s="1"/>
      <c r="BC31" s="1"/>
      <c r="BD31" s="1"/>
      <c r="BE31" s="1"/>
    </row>
    <row r="32" spans="1:57" ht="3.75" customHeight="1">
      <c r="A32" s="1"/>
      <c r="B32" s="106"/>
      <c r="C32" s="75"/>
      <c r="D32" s="75"/>
      <c r="E32" s="75"/>
      <c r="F32" s="75"/>
      <c r="G32" s="75"/>
      <c r="H32" s="21"/>
      <c r="I32" s="22"/>
      <c r="J32" s="22"/>
      <c r="K32" s="22"/>
      <c r="L32" s="22"/>
      <c r="M32" s="23"/>
      <c r="N32" s="23"/>
      <c r="O32" s="23"/>
      <c r="P32" s="23"/>
      <c r="Q32" s="23"/>
      <c r="R32" s="23"/>
      <c r="S32" s="23"/>
      <c r="T32" s="23"/>
      <c r="U32" s="23"/>
      <c r="V32" s="23"/>
      <c r="W32" s="23"/>
      <c r="X32" s="24"/>
      <c r="Y32" s="1"/>
      <c r="Z32" s="74"/>
      <c r="AA32" s="75"/>
      <c r="AB32" s="75"/>
      <c r="AC32" s="105"/>
      <c r="AD32" s="123"/>
      <c r="AE32" s="126"/>
      <c r="AF32" s="76"/>
      <c r="AG32" s="1"/>
      <c r="AH32" s="121"/>
      <c r="AI32" s="121"/>
      <c r="AJ32" s="121"/>
      <c r="AK32" s="121"/>
      <c r="AL32" s="124"/>
      <c r="AM32" s="146"/>
      <c r="AN32" s="129"/>
      <c r="AO32" s="121"/>
      <c r="AP32" s="121"/>
      <c r="AQ32" s="121"/>
      <c r="AR32" s="124"/>
      <c r="AS32" s="146"/>
      <c r="AT32" s="129"/>
      <c r="AU32" s="121"/>
      <c r="AV32" s="121"/>
      <c r="AW32" s="121"/>
      <c r="AX32" s="124"/>
      <c r="AY32" s="129"/>
      <c r="AZ32" s="1"/>
      <c r="BA32" s="1"/>
      <c r="BB32" s="1"/>
      <c r="BC32" s="1"/>
      <c r="BD32" s="1"/>
      <c r="BE32" s="1"/>
    </row>
    <row r="33" spans="1:57" ht="8.2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22"/>
      <c r="AI33" s="122"/>
      <c r="AJ33" s="122"/>
      <c r="AK33" s="122"/>
      <c r="AL33" s="147"/>
      <c r="AM33" s="148"/>
      <c r="AN33" s="120"/>
      <c r="AO33" s="122"/>
      <c r="AP33" s="122"/>
      <c r="AQ33" s="122"/>
      <c r="AR33" s="147"/>
      <c r="AS33" s="148"/>
      <c r="AT33" s="120"/>
      <c r="AU33" s="122"/>
      <c r="AV33" s="122"/>
      <c r="AW33" s="122"/>
      <c r="AX33" s="147"/>
      <c r="AY33" s="150"/>
      <c r="AZ33" s="1"/>
      <c r="BA33" s="1"/>
      <c r="BB33" s="1"/>
      <c r="BC33" s="1"/>
      <c r="BD33" s="1"/>
      <c r="BE33" s="1"/>
    </row>
    <row r="34" spans="1:57" ht="12" customHeight="1">
      <c r="A34" s="1"/>
      <c r="B34" s="28" t="s">
        <v>15</v>
      </c>
      <c r="C34" s="107" t="s">
        <v>16</v>
      </c>
      <c r="D34" s="108"/>
      <c r="E34" s="108"/>
      <c r="F34" s="108"/>
      <c r="G34" s="108"/>
      <c r="H34" s="108"/>
      <c r="I34" s="108"/>
      <c r="J34" s="108"/>
      <c r="K34" s="108"/>
      <c r="L34" s="108"/>
      <c r="M34" s="108"/>
      <c r="N34" s="108"/>
      <c r="O34" s="109"/>
      <c r="P34" s="29" t="s">
        <v>17</v>
      </c>
      <c r="Q34" s="30" t="s">
        <v>18</v>
      </c>
      <c r="R34" s="31" t="s">
        <v>19</v>
      </c>
      <c r="S34" s="107" t="s">
        <v>20</v>
      </c>
      <c r="T34" s="108"/>
      <c r="U34" s="108"/>
      <c r="V34" s="108"/>
      <c r="W34" s="108"/>
      <c r="X34" s="110"/>
      <c r="Y34" s="1"/>
      <c r="Z34" s="32" t="s">
        <v>21</v>
      </c>
      <c r="AA34" s="33" t="s">
        <v>22</v>
      </c>
      <c r="AB34" s="34" t="s">
        <v>21</v>
      </c>
      <c r="AC34" s="33" t="s">
        <v>22</v>
      </c>
      <c r="AD34" s="34" t="s">
        <v>21</v>
      </c>
      <c r="AE34" s="111" t="s">
        <v>22</v>
      </c>
      <c r="AF34" s="110"/>
      <c r="AG34" s="1"/>
      <c r="AH34" s="9"/>
      <c r="AI34" s="9"/>
      <c r="AJ34" s="9"/>
      <c r="AK34" s="9"/>
      <c r="AL34" s="93"/>
      <c r="AM34" s="145"/>
      <c r="AN34" s="44"/>
      <c r="AO34" s="9"/>
      <c r="AP34" s="9"/>
      <c r="AQ34" s="9"/>
      <c r="AR34" s="93"/>
      <c r="AS34" s="145"/>
      <c r="AT34" s="44"/>
      <c r="AU34" s="9"/>
      <c r="AV34" s="9"/>
      <c r="AW34" s="9"/>
      <c r="AX34" s="93"/>
      <c r="AY34" s="149"/>
      <c r="AZ34" s="1"/>
      <c r="BA34" s="1"/>
      <c r="BB34" s="1"/>
      <c r="BC34" s="1"/>
      <c r="BD34" s="1"/>
      <c r="BE34" s="1"/>
    </row>
    <row r="35" spans="1:57" ht="12" customHeight="1">
      <c r="A35" s="1"/>
      <c r="B35" s="36"/>
      <c r="C35" s="97"/>
      <c r="D35" s="98"/>
      <c r="E35" s="98"/>
      <c r="F35" s="98"/>
      <c r="G35" s="98"/>
      <c r="H35" s="98"/>
      <c r="I35" s="98"/>
      <c r="J35" s="98"/>
      <c r="K35" s="98"/>
      <c r="L35" s="98"/>
      <c r="M35" s="98"/>
      <c r="N35" s="98"/>
      <c r="O35" s="83"/>
      <c r="P35" s="37"/>
      <c r="Q35" s="9"/>
      <c r="R35" s="38">
        <v>1</v>
      </c>
      <c r="S35" s="9"/>
      <c r="T35" s="9"/>
      <c r="U35" s="90"/>
      <c r="V35" s="83"/>
      <c r="W35" s="138"/>
      <c r="X35" s="139"/>
      <c r="Y35" s="1"/>
      <c r="Z35" s="39"/>
      <c r="AA35" s="9"/>
      <c r="AB35" s="9"/>
      <c r="AC35" s="9"/>
      <c r="AD35" s="9"/>
      <c r="AE35" s="93"/>
      <c r="AF35" s="94"/>
      <c r="AG35" s="1"/>
      <c r="AH35" s="9"/>
      <c r="AI35" s="9"/>
      <c r="AJ35" s="9"/>
      <c r="AK35" s="9"/>
      <c r="AL35" s="93"/>
      <c r="AM35" s="145"/>
      <c r="AN35" s="44"/>
      <c r="AO35" s="9"/>
      <c r="AP35" s="9"/>
      <c r="AQ35" s="9"/>
      <c r="AR35" s="93"/>
      <c r="AS35" s="145"/>
      <c r="AT35" s="44"/>
      <c r="AU35" s="9"/>
      <c r="AV35" s="9"/>
      <c r="AW35" s="9"/>
      <c r="AX35" s="93"/>
      <c r="AY35" s="149"/>
      <c r="AZ35" s="1"/>
      <c r="BA35" s="1"/>
      <c r="BB35" s="1"/>
      <c r="BC35" s="1"/>
      <c r="BD35" s="1"/>
      <c r="BE35" s="1"/>
    </row>
    <row r="36" spans="1:57" ht="12" customHeight="1">
      <c r="A36" s="1"/>
      <c r="B36" s="36"/>
      <c r="C36" s="97"/>
      <c r="D36" s="98"/>
      <c r="E36" s="98"/>
      <c r="F36" s="98"/>
      <c r="G36" s="98"/>
      <c r="H36" s="98"/>
      <c r="I36" s="98"/>
      <c r="J36" s="98"/>
      <c r="K36" s="98"/>
      <c r="L36" s="98"/>
      <c r="M36" s="98"/>
      <c r="N36" s="98"/>
      <c r="O36" s="83"/>
      <c r="P36" s="37"/>
      <c r="Q36" s="9"/>
      <c r="R36" s="38">
        <v>2</v>
      </c>
      <c r="S36" s="9"/>
      <c r="T36" s="9"/>
      <c r="U36" s="91"/>
      <c r="V36" s="92"/>
      <c r="W36" s="138"/>
      <c r="X36" s="139"/>
      <c r="Y36" s="1"/>
      <c r="Z36" s="39"/>
      <c r="AA36" s="9"/>
      <c r="AB36" s="9"/>
      <c r="AC36" s="9"/>
      <c r="AD36" s="9"/>
      <c r="AE36" s="93"/>
      <c r="AF36" s="94"/>
      <c r="AG36" s="1"/>
      <c r="AH36" s="9"/>
      <c r="AI36" s="9"/>
      <c r="AJ36" s="9"/>
      <c r="AK36" s="9"/>
      <c r="AL36" s="93"/>
      <c r="AM36" s="145"/>
      <c r="AN36" s="44"/>
      <c r="AO36" s="9"/>
      <c r="AP36" s="9"/>
      <c r="AQ36" s="9"/>
      <c r="AR36" s="93"/>
      <c r="AS36" s="145"/>
      <c r="AT36" s="44"/>
      <c r="AU36" s="9"/>
      <c r="AV36" s="9"/>
      <c r="AW36" s="9"/>
      <c r="AX36" s="93"/>
      <c r="AY36" s="149"/>
      <c r="AZ36" s="1"/>
      <c r="BA36" s="1"/>
      <c r="BB36" s="1"/>
      <c r="BC36" s="1"/>
      <c r="BD36" s="1"/>
      <c r="BE36" s="1"/>
    </row>
    <row r="37" spans="1:57" ht="12" customHeight="1">
      <c r="A37" s="1"/>
      <c r="B37" s="36"/>
      <c r="C37" s="97"/>
      <c r="D37" s="98"/>
      <c r="E37" s="98"/>
      <c r="F37" s="98"/>
      <c r="G37" s="98"/>
      <c r="H37" s="98"/>
      <c r="I37" s="98"/>
      <c r="J37" s="98"/>
      <c r="K37" s="98"/>
      <c r="L37" s="98"/>
      <c r="M37" s="98"/>
      <c r="N37" s="98"/>
      <c r="O37" s="83"/>
      <c r="P37" s="37"/>
      <c r="Q37" s="9"/>
      <c r="R37" s="38">
        <v>3</v>
      </c>
      <c r="S37" s="9"/>
      <c r="T37" s="9"/>
      <c r="U37" s="90"/>
      <c r="V37" s="83"/>
      <c r="W37" s="138"/>
      <c r="X37" s="139"/>
      <c r="Y37" s="1"/>
      <c r="Z37" s="39"/>
      <c r="AA37" s="9"/>
      <c r="AB37" s="9"/>
      <c r="AC37" s="9"/>
      <c r="AD37" s="9"/>
      <c r="AE37" s="93"/>
      <c r="AF37" s="94"/>
      <c r="AG37" s="1"/>
      <c r="AH37" s="9"/>
      <c r="AI37" s="9"/>
      <c r="AJ37" s="9"/>
      <c r="AK37" s="9"/>
      <c r="AL37" s="93"/>
      <c r="AM37" s="145"/>
      <c r="AN37" s="44"/>
      <c r="AO37" s="9"/>
      <c r="AP37" s="9"/>
      <c r="AQ37" s="9"/>
      <c r="AR37" s="93"/>
      <c r="AS37" s="145"/>
      <c r="AT37" s="44"/>
      <c r="AU37" s="9"/>
      <c r="AV37" s="9"/>
      <c r="AW37" s="9"/>
      <c r="AX37" s="93"/>
      <c r="AY37" s="149"/>
      <c r="AZ37" s="1"/>
      <c r="BA37" s="1"/>
      <c r="BB37" s="1"/>
      <c r="BC37" s="1"/>
      <c r="BD37" s="1"/>
      <c r="BE37" s="1"/>
    </row>
    <row r="38" spans="1:57" ht="12" customHeight="1">
      <c r="A38" s="1"/>
      <c r="B38" s="36"/>
      <c r="C38" s="97"/>
      <c r="D38" s="98"/>
      <c r="E38" s="98"/>
      <c r="F38" s="98"/>
      <c r="G38" s="98"/>
      <c r="H38" s="98"/>
      <c r="I38" s="98"/>
      <c r="J38" s="98"/>
      <c r="K38" s="98"/>
      <c r="L38" s="98"/>
      <c r="M38" s="98"/>
      <c r="N38" s="98"/>
      <c r="O38" s="83"/>
      <c r="P38" s="37"/>
      <c r="Q38" s="9"/>
      <c r="R38" s="38">
        <v>4</v>
      </c>
      <c r="S38" s="9"/>
      <c r="T38" s="9"/>
      <c r="U38" s="91"/>
      <c r="V38" s="92"/>
      <c r="W38" s="138"/>
      <c r="X38" s="139"/>
      <c r="Y38" s="1"/>
      <c r="Z38" s="39"/>
      <c r="AA38" s="9"/>
      <c r="AB38" s="9"/>
      <c r="AC38" s="9"/>
      <c r="AD38" s="9"/>
      <c r="AE38" s="93"/>
      <c r="AF38" s="94"/>
      <c r="AG38" s="1"/>
      <c r="AH38" s="9"/>
      <c r="AI38" s="9"/>
      <c r="AJ38" s="9"/>
      <c r="AK38" s="9"/>
      <c r="AL38" s="93"/>
      <c r="AM38" s="145"/>
      <c r="AN38" s="44"/>
      <c r="AO38" s="9"/>
      <c r="AP38" s="9"/>
      <c r="AQ38" s="9"/>
      <c r="AR38" s="93"/>
      <c r="AS38" s="145"/>
      <c r="AT38" s="44"/>
      <c r="AU38" s="9"/>
      <c r="AV38" s="9"/>
      <c r="AW38" s="9"/>
      <c r="AX38" s="93"/>
      <c r="AY38" s="149"/>
      <c r="AZ38" s="1"/>
      <c r="BA38" s="1"/>
      <c r="BB38" s="1"/>
      <c r="BC38" s="1"/>
      <c r="BD38" s="1"/>
      <c r="BE38" s="1"/>
    </row>
    <row r="39" spans="1:57" ht="12" customHeight="1">
      <c r="A39" s="1"/>
      <c r="B39" s="36"/>
      <c r="C39" s="97"/>
      <c r="D39" s="98"/>
      <c r="E39" s="98"/>
      <c r="F39" s="98"/>
      <c r="G39" s="98"/>
      <c r="H39" s="98"/>
      <c r="I39" s="98"/>
      <c r="J39" s="98"/>
      <c r="K39" s="98"/>
      <c r="L39" s="98"/>
      <c r="M39" s="98"/>
      <c r="N39" s="98"/>
      <c r="O39" s="83"/>
      <c r="P39" s="37"/>
      <c r="Q39" s="9"/>
      <c r="R39" s="38">
        <v>5</v>
      </c>
      <c r="S39" s="9"/>
      <c r="T39" s="9"/>
      <c r="U39" s="90"/>
      <c r="V39" s="83"/>
      <c r="W39" s="138"/>
      <c r="X39" s="139"/>
      <c r="Y39" s="1"/>
      <c r="Z39" s="39"/>
      <c r="AA39" s="9"/>
      <c r="AB39" s="9"/>
      <c r="AC39" s="9"/>
      <c r="AD39" s="43"/>
      <c r="AE39" s="93"/>
      <c r="AF39" s="94"/>
      <c r="AG39" s="1"/>
      <c r="AH39" s="9"/>
      <c r="AI39" s="9"/>
      <c r="AJ39" s="9"/>
      <c r="AK39" s="9"/>
      <c r="AL39" s="93"/>
      <c r="AM39" s="145"/>
      <c r="AN39" s="44"/>
      <c r="AO39" s="9"/>
      <c r="AP39" s="9"/>
      <c r="AQ39" s="9"/>
      <c r="AR39" s="93"/>
      <c r="AS39" s="145"/>
      <c r="AT39" s="44"/>
      <c r="AU39" s="9"/>
      <c r="AV39" s="9"/>
      <c r="AW39" s="9"/>
      <c r="AX39" s="93"/>
      <c r="AY39" s="149"/>
      <c r="AZ39" s="1"/>
      <c r="BA39" s="1"/>
      <c r="BB39" s="1"/>
      <c r="BC39" s="1"/>
      <c r="BD39" s="1"/>
      <c r="BE39" s="1"/>
    </row>
    <row r="40" spans="1:57" ht="12" customHeight="1">
      <c r="A40" s="1"/>
      <c r="B40" s="36"/>
      <c r="C40" s="97"/>
      <c r="D40" s="98"/>
      <c r="E40" s="98"/>
      <c r="F40" s="98"/>
      <c r="G40" s="98"/>
      <c r="H40" s="98"/>
      <c r="I40" s="98"/>
      <c r="J40" s="98"/>
      <c r="K40" s="98"/>
      <c r="L40" s="98"/>
      <c r="M40" s="98"/>
      <c r="N40" s="98"/>
      <c r="O40" s="83"/>
      <c r="P40" s="37"/>
      <c r="Q40" s="9"/>
      <c r="R40" s="38">
        <v>6</v>
      </c>
      <c r="S40" s="9"/>
      <c r="T40" s="9"/>
      <c r="U40" s="91"/>
      <c r="V40" s="92"/>
      <c r="W40" s="138"/>
      <c r="X40" s="139"/>
      <c r="Y40" s="1"/>
      <c r="Z40" s="39"/>
      <c r="AA40" s="9"/>
      <c r="AB40" s="9"/>
      <c r="AC40" s="9"/>
      <c r="AD40" s="9"/>
      <c r="AE40" s="93"/>
      <c r="AF40" s="94"/>
      <c r="AG40" s="1"/>
      <c r="AH40" s="93"/>
      <c r="AI40" s="98"/>
      <c r="AJ40" s="83"/>
      <c r="AK40" s="130" t="s">
        <v>16</v>
      </c>
      <c r="AL40" s="98"/>
      <c r="AM40" s="98"/>
      <c r="AN40" s="98"/>
      <c r="AO40" s="98"/>
      <c r="AP40" s="98"/>
      <c r="AQ40" s="98"/>
      <c r="AR40" s="98"/>
      <c r="AS40" s="83"/>
      <c r="AT40" s="51" t="s">
        <v>15</v>
      </c>
      <c r="AU40" s="130" t="s">
        <v>45</v>
      </c>
      <c r="AV40" s="98"/>
      <c r="AW40" s="98"/>
      <c r="AX40" s="98"/>
      <c r="AY40" s="83"/>
      <c r="AZ40" s="1"/>
      <c r="BA40" s="1"/>
      <c r="BB40" s="1"/>
      <c r="BC40" s="1"/>
      <c r="BD40" s="1"/>
      <c r="BE40" s="1"/>
    </row>
    <row r="41" spans="1:57" ht="12" customHeight="1">
      <c r="A41" s="1"/>
      <c r="B41" s="36"/>
      <c r="C41" s="97"/>
      <c r="D41" s="98"/>
      <c r="E41" s="98"/>
      <c r="F41" s="98"/>
      <c r="G41" s="98"/>
      <c r="H41" s="98"/>
      <c r="I41" s="98"/>
      <c r="J41" s="98"/>
      <c r="K41" s="98"/>
      <c r="L41" s="98"/>
      <c r="M41" s="98"/>
      <c r="N41" s="98"/>
      <c r="O41" s="83"/>
      <c r="P41" s="37"/>
      <c r="Q41" s="9"/>
      <c r="R41" s="38">
        <v>7</v>
      </c>
      <c r="S41" s="9"/>
      <c r="T41" s="9"/>
      <c r="U41" s="90"/>
      <c r="V41" s="83"/>
      <c r="W41" s="138"/>
      <c r="X41" s="139"/>
      <c r="Y41" s="1"/>
      <c r="Z41" s="39"/>
      <c r="AA41" s="9"/>
      <c r="AB41" s="9"/>
      <c r="AC41" s="9"/>
      <c r="AD41" s="9"/>
      <c r="AE41" s="93"/>
      <c r="AF41" s="94"/>
      <c r="AG41" s="1"/>
      <c r="AH41" s="127" t="s">
        <v>46</v>
      </c>
      <c r="AI41" s="98"/>
      <c r="AJ41" s="83"/>
      <c r="AK41" s="130"/>
      <c r="AL41" s="98"/>
      <c r="AM41" s="98"/>
      <c r="AN41" s="98"/>
      <c r="AO41" s="98"/>
      <c r="AP41" s="98"/>
      <c r="AQ41" s="98"/>
      <c r="AR41" s="98"/>
      <c r="AS41" s="83"/>
      <c r="AT41" s="51"/>
      <c r="AU41" s="130"/>
      <c r="AV41" s="98"/>
      <c r="AW41" s="98"/>
      <c r="AX41" s="98"/>
      <c r="AY41" s="83"/>
      <c r="AZ41" s="1"/>
      <c r="BA41" s="1"/>
      <c r="BB41" s="1"/>
      <c r="BC41" s="1"/>
      <c r="BD41" s="1"/>
      <c r="BE41" s="1"/>
    </row>
    <row r="42" spans="1:57" ht="12" customHeight="1">
      <c r="A42" s="1"/>
      <c r="B42" s="36"/>
      <c r="C42" s="97"/>
      <c r="D42" s="98"/>
      <c r="E42" s="98"/>
      <c r="F42" s="98"/>
      <c r="G42" s="98"/>
      <c r="H42" s="98"/>
      <c r="I42" s="98"/>
      <c r="J42" s="98"/>
      <c r="K42" s="98"/>
      <c r="L42" s="98"/>
      <c r="M42" s="98"/>
      <c r="N42" s="98"/>
      <c r="O42" s="83"/>
      <c r="P42" s="37"/>
      <c r="Q42" s="9"/>
      <c r="R42" s="38">
        <v>8</v>
      </c>
      <c r="S42" s="9"/>
      <c r="T42" s="9"/>
      <c r="U42" s="91"/>
      <c r="V42" s="92"/>
      <c r="W42" s="138"/>
      <c r="X42" s="139"/>
      <c r="Y42" s="1"/>
      <c r="Z42" s="39"/>
      <c r="AA42" s="9"/>
      <c r="AB42" s="9"/>
      <c r="AC42" s="9"/>
      <c r="AD42" s="9"/>
      <c r="AE42" s="93"/>
      <c r="AF42" s="94"/>
      <c r="AG42" s="1"/>
      <c r="AH42" s="127" t="s">
        <v>47</v>
      </c>
      <c r="AI42" s="98"/>
      <c r="AJ42" s="83"/>
      <c r="AK42" s="130"/>
      <c r="AL42" s="98"/>
      <c r="AM42" s="98"/>
      <c r="AN42" s="98"/>
      <c r="AO42" s="98"/>
      <c r="AP42" s="98"/>
      <c r="AQ42" s="98"/>
      <c r="AR42" s="98"/>
      <c r="AS42" s="83"/>
      <c r="AT42" s="51"/>
      <c r="AU42" s="130"/>
      <c r="AV42" s="98"/>
      <c r="AW42" s="98"/>
      <c r="AX42" s="98"/>
      <c r="AY42" s="83"/>
      <c r="AZ42" s="1"/>
      <c r="BA42" s="1"/>
      <c r="BB42" s="1"/>
      <c r="BC42" s="1"/>
      <c r="BD42" s="1"/>
      <c r="BE42" s="1"/>
    </row>
    <row r="43" spans="1:57" ht="12" customHeight="1">
      <c r="A43" s="1"/>
      <c r="B43" s="36"/>
      <c r="C43" s="97"/>
      <c r="D43" s="98"/>
      <c r="E43" s="98"/>
      <c r="F43" s="98"/>
      <c r="G43" s="98"/>
      <c r="H43" s="98"/>
      <c r="I43" s="98"/>
      <c r="J43" s="98"/>
      <c r="K43" s="98"/>
      <c r="L43" s="98"/>
      <c r="M43" s="98"/>
      <c r="N43" s="98"/>
      <c r="O43" s="83"/>
      <c r="P43" s="37" t="str">
        <f>IF(C43="","",VLOOKUP(C43,'BD Joueurs Licence'!$E$3:$G$17,3))</f>
        <v/>
      </c>
      <c r="Q43" s="9"/>
      <c r="R43" s="38">
        <v>9</v>
      </c>
      <c r="S43" s="9"/>
      <c r="T43" s="9"/>
      <c r="U43" s="90"/>
      <c r="V43" s="83"/>
      <c r="W43" s="138"/>
      <c r="X43" s="139"/>
      <c r="Y43" s="1"/>
      <c r="Z43" s="39"/>
      <c r="AA43" s="9"/>
      <c r="AB43" s="9"/>
      <c r="AC43" s="9"/>
      <c r="AD43" s="9"/>
      <c r="AE43" s="93"/>
      <c r="AF43" s="94"/>
      <c r="AG43" s="1"/>
      <c r="AH43" s="127" t="s">
        <v>48</v>
      </c>
      <c r="AI43" s="98"/>
      <c r="AJ43" s="83"/>
      <c r="AK43" s="130"/>
      <c r="AL43" s="98"/>
      <c r="AM43" s="98"/>
      <c r="AN43" s="98"/>
      <c r="AO43" s="98"/>
      <c r="AP43" s="98"/>
      <c r="AQ43" s="98"/>
      <c r="AR43" s="98"/>
      <c r="AS43" s="83"/>
      <c r="AT43" s="51"/>
      <c r="AU43" s="130"/>
      <c r="AV43" s="98"/>
      <c r="AW43" s="98"/>
      <c r="AX43" s="98"/>
      <c r="AY43" s="83"/>
      <c r="AZ43" s="1"/>
      <c r="BA43" s="1"/>
      <c r="BB43" s="1"/>
      <c r="BC43" s="1"/>
      <c r="BD43" s="1"/>
      <c r="BE43" s="1"/>
    </row>
    <row r="44" spans="1:57" ht="12" customHeight="1">
      <c r="A44" s="1"/>
      <c r="B44" s="36" t="str">
        <f>IF(C44="","",VLOOKUP(C44,'BD Joueurs Licence'!E12:F26,2))</f>
        <v/>
      </c>
      <c r="C44" s="97"/>
      <c r="D44" s="98"/>
      <c r="E44" s="98"/>
      <c r="F44" s="98"/>
      <c r="G44" s="98"/>
      <c r="H44" s="98"/>
      <c r="I44" s="98"/>
      <c r="J44" s="98"/>
      <c r="K44" s="98"/>
      <c r="L44" s="98"/>
      <c r="M44" s="98"/>
      <c r="N44" s="98"/>
      <c r="O44" s="83"/>
      <c r="P44" s="37" t="str">
        <f>IF(C44="","",VLOOKUP(C44,'BD Joueurs Licence'!$E$3:$G$17,3))</f>
        <v/>
      </c>
      <c r="Q44" s="9"/>
      <c r="R44" s="38">
        <v>10</v>
      </c>
      <c r="S44" s="9"/>
      <c r="T44" s="9"/>
      <c r="U44" s="91"/>
      <c r="V44" s="92"/>
      <c r="W44" s="138"/>
      <c r="X44" s="139"/>
      <c r="Y44" s="1"/>
      <c r="Z44" s="39"/>
      <c r="AA44" s="9"/>
      <c r="AB44" s="9"/>
      <c r="AC44" s="9"/>
      <c r="AD44" s="9"/>
      <c r="AE44" s="93"/>
      <c r="AF44" s="94"/>
      <c r="AG44" s="1"/>
      <c r="AH44" s="127" t="s">
        <v>48</v>
      </c>
      <c r="AI44" s="98"/>
      <c r="AJ44" s="83"/>
      <c r="AK44" s="131"/>
      <c r="AL44" s="98"/>
      <c r="AM44" s="98"/>
      <c r="AN44" s="98"/>
      <c r="AO44" s="98"/>
      <c r="AP44" s="98"/>
      <c r="AQ44" s="98"/>
      <c r="AR44" s="98"/>
      <c r="AS44" s="83"/>
      <c r="AT44" s="51"/>
      <c r="AU44" s="130"/>
      <c r="AV44" s="98"/>
      <c r="AW44" s="98"/>
      <c r="AX44" s="98"/>
      <c r="AY44" s="83"/>
      <c r="AZ44" s="1"/>
      <c r="BA44" s="1"/>
      <c r="BB44" s="1"/>
      <c r="BC44" s="1"/>
      <c r="BD44" s="1"/>
      <c r="BE44" s="1"/>
    </row>
    <row r="45" spans="1:57" ht="12" customHeight="1">
      <c r="A45" s="1"/>
      <c r="B45" s="36" t="str">
        <f>IF(C45="","",VLOOKUP(C45,'BD Joueurs Licence'!E13:F27,2))</f>
        <v/>
      </c>
      <c r="C45" s="97"/>
      <c r="D45" s="98"/>
      <c r="E45" s="98"/>
      <c r="F45" s="98"/>
      <c r="G45" s="98"/>
      <c r="H45" s="98"/>
      <c r="I45" s="98"/>
      <c r="J45" s="98"/>
      <c r="K45" s="98"/>
      <c r="L45" s="98"/>
      <c r="M45" s="98"/>
      <c r="N45" s="98"/>
      <c r="O45" s="83"/>
      <c r="P45" s="37" t="str">
        <f>IF(C45="","",VLOOKUP(C45,'BD Joueurs Licence'!$E$3:$G$17,3))</f>
        <v/>
      </c>
      <c r="Q45" s="9"/>
      <c r="R45" s="38">
        <v>11</v>
      </c>
      <c r="S45" s="9"/>
      <c r="T45" s="9"/>
      <c r="U45" s="90"/>
      <c r="V45" s="83"/>
      <c r="W45" s="138"/>
      <c r="X45" s="139"/>
      <c r="Y45" s="1"/>
      <c r="Z45" s="39"/>
      <c r="AA45" s="9"/>
      <c r="AB45" s="9"/>
      <c r="AC45" s="9"/>
      <c r="AD45" s="9"/>
      <c r="AE45" s="93"/>
      <c r="AF45" s="94"/>
      <c r="AG45" s="1"/>
      <c r="AH45" s="127" t="s">
        <v>49</v>
      </c>
      <c r="AI45" s="98"/>
      <c r="AJ45" s="83"/>
      <c r="AK45" s="130"/>
      <c r="AL45" s="98"/>
      <c r="AM45" s="98"/>
      <c r="AN45" s="98"/>
      <c r="AO45" s="98"/>
      <c r="AP45" s="98"/>
      <c r="AQ45" s="98"/>
      <c r="AR45" s="98"/>
      <c r="AS45" s="83"/>
      <c r="AT45" s="51"/>
      <c r="AU45" s="130"/>
      <c r="AV45" s="98"/>
      <c r="AW45" s="98"/>
      <c r="AX45" s="98"/>
      <c r="AY45" s="83"/>
      <c r="AZ45" s="1"/>
      <c r="BA45" s="1"/>
      <c r="BB45" s="1"/>
      <c r="BC45" s="1"/>
      <c r="BD45" s="1"/>
      <c r="BE45" s="1"/>
    </row>
    <row r="46" spans="1:57" ht="12" customHeight="1">
      <c r="A46" s="1"/>
      <c r="B46" s="36" t="str">
        <f>IF(C46="","",VLOOKUP(C46,'BD Joueurs Licence'!E14:F28,2))</f>
        <v/>
      </c>
      <c r="C46" s="97"/>
      <c r="D46" s="98"/>
      <c r="E46" s="98"/>
      <c r="F46" s="98"/>
      <c r="G46" s="98"/>
      <c r="H46" s="98"/>
      <c r="I46" s="98"/>
      <c r="J46" s="98"/>
      <c r="K46" s="98"/>
      <c r="L46" s="98"/>
      <c r="M46" s="98"/>
      <c r="N46" s="98"/>
      <c r="O46" s="83"/>
      <c r="P46" s="37" t="str">
        <f>IF(C46="","",VLOOKUP(C46,'BD Joueurs Licence'!$E$3:$G$17,3))</f>
        <v/>
      </c>
      <c r="Q46" s="9"/>
      <c r="R46" s="38">
        <v>12</v>
      </c>
      <c r="S46" s="9"/>
      <c r="T46" s="9"/>
      <c r="U46" s="91"/>
      <c r="V46" s="92"/>
      <c r="W46" s="138"/>
      <c r="X46" s="139"/>
      <c r="Y46" s="1"/>
      <c r="Z46" s="39"/>
      <c r="AA46" s="9"/>
      <c r="AB46" s="9"/>
      <c r="AC46" s="9"/>
      <c r="AD46" s="9"/>
      <c r="AE46" s="93"/>
      <c r="AF46" s="94"/>
      <c r="AG46" s="1"/>
      <c r="AH46" s="132" t="s">
        <v>50</v>
      </c>
      <c r="AI46" s="100"/>
      <c r="AJ46" s="100"/>
      <c r="AK46" s="100"/>
      <c r="AL46" s="100"/>
      <c r="AM46" s="100"/>
      <c r="AN46" s="100"/>
      <c r="AO46" s="100"/>
      <c r="AP46" s="100"/>
      <c r="AQ46" s="100"/>
      <c r="AR46" s="100"/>
      <c r="AS46" s="100"/>
      <c r="AT46" s="100"/>
      <c r="AU46" s="100"/>
      <c r="AV46" s="100"/>
      <c r="AW46" s="100"/>
      <c r="AX46" s="100"/>
      <c r="AY46" s="101"/>
      <c r="AZ46" s="1"/>
      <c r="BA46" s="1"/>
      <c r="BB46" s="1"/>
      <c r="BC46" s="1"/>
      <c r="BD46" s="1"/>
      <c r="BE46" s="1"/>
    </row>
    <row r="47" spans="1:57" ht="12" customHeight="1">
      <c r="A47" s="1"/>
      <c r="B47" s="36" t="str">
        <f>IF(C47="","",VLOOKUP(C47,'BD Joueurs Licence'!E15:F29,2))</f>
        <v/>
      </c>
      <c r="C47" s="97"/>
      <c r="D47" s="98"/>
      <c r="E47" s="98"/>
      <c r="F47" s="98"/>
      <c r="G47" s="98"/>
      <c r="H47" s="98"/>
      <c r="I47" s="98"/>
      <c r="J47" s="98"/>
      <c r="K47" s="98"/>
      <c r="L47" s="98"/>
      <c r="M47" s="98"/>
      <c r="N47" s="98"/>
      <c r="O47" s="83"/>
      <c r="P47" s="37" t="str">
        <f>IF(C47="","",VLOOKUP(C47,'BD Joueurs Licence'!$E$3:$G$17,3))</f>
        <v/>
      </c>
      <c r="Q47" s="9"/>
      <c r="R47" s="38">
        <v>13</v>
      </c>
      <c r="S47" s="9"/>
      <c r="T47" s="9"/>
      <c r="U47" s="90"/>
      <c r="V47" s="83"/>
      <c r="W47" s="138"/>
      <c r="X47" s="139"/>
      <c r="Y47" s="1"/>
      <c r="Z47" s="39"/>
      <c r="AA47" s="9"/>
      <c r="AB47" s="9"/>
      <c r="AC47" s="9"/>
      <c r="AD47" s="9"/>
      <c r="AE47" s="93"/>
      <c r="AF47" s="94"/>
      <c r="AG47" s="1"/>
      <c r="AH47" s="133"/>
      <c r="AI47" s="67"/>
      <c r="AJ47" s="67"/>
      <c r="AK47" s="67"/>
      <c r="AL47" s="67"/>
      <c r="AM47" s="67"/>
      <c r="AN47" s="67"/>
      <c r="AO47" s="67"/>
      <c r="AP47" s="67"/>
      <c r="AQ47" s="67"/>
      <c r="AR47" s="67"/>
      <c r="AS47" s="67"/>
      <c r="AT47" s="67"/>
      <c r="AU47" s="67"/>
      <c r="AV47" s="67"/>
      <c r="AW47" s="67"/>
      <c r="AX47" s="67"/>
      <c r="AY47" s="92"/>
      <c r="AZ47" s="1"/>
      <c r="BA47" s="1"/>
      <c r="BB47" s="1"/>
      <c r="BC47" s="1"/>
      <c r="BD47" s="1"/>
      <c r="BE47" s="1"/>
    </row>
    <row r="48" spans="1:57" ht="12" customHeight="1">
      <c r="A48" s="1"/>
      <c r="B48" s="36" t="str">
        <f>IF(C48="","",VLOOKUP(C48,'BD Joueurs Licence'!E16:F30,2))</f>
        <v/>
      </c>
      <c r="C48" s="97"/>
      <c r="D48" s="98"/>
      <c r="E48" s="98"/>
      <c r="F48" s="98"/>
      <c r="G48" s="98"/>
      <c r="H48" s="98"/>
      <c r="I48" s="98"/>
      <c r="J48" s="98"/>
      <c r="K48" s="98"/>
      <c r="L48" s="98"/>
      <c r="M48" s="98"/>
      <c r="N48" s="98"/>
      <c r="O48" s="83"/>
      <c r="P48" s="37" t="str">
        <f>IF(C48="","",VLOOKUP(C48,'BD Joueurs Licence'!$E$3:$G$17,3))</f>
        <v/>
      </c>
      <c r="Q48" s="9"/>
      <c r="R48" s="38">
        <v>14</v>
      </c>
      <c r="S48" s="9"/>
      <c r="T48" s="9"/>
      <c r="U48" s="91"/>
      <c r="V48" s="92"/>
      <c r="W48" s="138"/>
      <c r="X48" s="139"/>
      <c r="Y48" s="1"/>
      <c r="Z48" s="39"/>
      <c r="AA48" s="9"/>
      <c r="AB48" s="9"/>
      <c r="AC48" s="9"/>
      <c r="AD48" s="9"/>
      <c r="AE48" s="93"/>
      <c r="AF48" s="94"/>
      <c r="AG48" s="1"/>
      <c r="AH48" s="133"/>
      <c r="AI48" s="67"/>
      <c r="AJ48" s="67"/>
      <c r="AK48" s="67"/>
      <c r="AL48" s="67"/>
      <c r="AM48" s="67"/>
      <c r="AN48" s="67"/>
      <c r="AO48" s="67"/>
      <c r="AP48" s="67"/>
      <c r="AQ48" s="67"/>
      <c r="AR48" s="67"/>
      <c r="AS48" s="67"/>
      <c r="AT48" s="67"/>
      <c r="AU48" s="67"/>
      <c r="AV48" s="67"/>
      <c r="AW48" s="67"/>
      <c r="AX48" s="67"/>
      <c r="AY48" s="92"/>
      <c r="AZ48" s="1"/>
      <c r="BA48" s="1"/>
      <c r="BB48" s="1"/>
      <c r="BC48" s="1"/>
      <c r="BD48" s="1"/>
      <c r="BE48" s="1"/>
    </row>
    <row r="49" spans="1:57" ht="12" customHeight="1">
      <c r="A49" s="1"/>
      <c r="B49" s="36" t="str">
        <f>IF(C49="","",VLOOKUP(C49,'BD Joueurs Licence'!E17:F31,2))</f>
        <v/>
      </c>
      <c r="C49" s="97"/>
      <c r="D49" s="98"/>
      <c r="E49" s="98"/>
      <c r="F49" s="98"/>
      <c r="G49" s="98"/>
      <c r="H49" s="98"/>
      <c r="I49" s="98"/>
      <c r="J49" s="98"/>
      <c r="K49" s="98"/>
      <c r="L49" s="98"/>
      <c r="M49" s="98"/>
      <c r="N49" s="98"/>
      <c r="O49" s="83"/>
      <c r="P49" s="37" t="str">
        <f>IF(C49="","",VLOOKUP(C49,'BD Joueurs Licence'!$E$3:$G$17,3))</f>
        <v/>
      </c>
      <c r="Q49" s="52"/>
      <c r="R49" s="53">
        <v>15</v>
      </c>
      <c r="S49" s="52"/>
      <c r="T49" s="52"/>
      <c r="U49" s="138"/>
      <c r="V49" s="139"/>
      <c r="W49" s="138"/>
      <c r="X49" s="139"/>
      <c r="Y49" s="1"/>
      <c r="Z49" s="39"/>
      <c r="AA49" s="9"/>
      <c r="AB49" s="9"/>
      <c r="AC49" s="9"/>
      <c r="AD49" s="9"/>
      <c r="AE49" s="93"/>
      <c r="AF49" s="94"/>
      <c r="AG49" s="1"/>
      <c r="AH49" s="133"/>
      <c r="AI49" s="67"/>
      <c r="AJ49" s="67"/>
      <c r="AK49" s="67"/>
      <c r="AL49" s="67"/>
      <c r="AM49" s="67"/>
      <c r="AN49" s="67"/>
      <c r="AO49" s="67"/>
      <c r="AP49" s="67"/>
      <c r="AQ49" s="67"/>
      <c r="AR49" s="67"/>
      <c r="AS49" s="67"/>
      <c r="AT49" s="67"/>
      <c r="AU49" s="67"/>
      <c r="AV49" s="67"/>
      <c r="AW49" s="67"/>
      <c r="AX49" s="67"/>
      <c r="AY49" s="92"/>
      <c r="AZ49" s="1"/>
      <c r="BA49" s="1"/>
      <c r="BB49" s="1"/>
      <c r="BC49" s="1"/>
      <c r="BD49" s="1"/>
      <c r="BE49" s="1"/>
    </row>
    <row r="50" spans="1:57" ht="12" customHeight="1">
      <c r="A50" s="1"/>
      <c r="B50" s="5"/>
      <c r="C50" s="102"/>
      <c r="D50" s="64"/>
      <c r="E50" s="64"/>
      <c r="F50" s="64"/>
      <c r="G50" s="64"/>
      <c r="H50" s="64"/>
      <c r="I50" s="64"/>
      <c r="J50" s="64"/>
      <c r="K50" s="64"/>
      <c r="L50" s="64"/>
      <c r="M50" s="64"/>
      <c r="N50" s="64"/>
      <c r="O50" s="103"/>
      <c r="P50" s="3"/>
      <c r="Q50" s="140" t="s">
        <v>36</v>
      </c>
      <c r="R50" s="64"/>
      <c r="S50" s="64"/>
      <c r="T50" s="64"/>
      <c r="U50" s="64"/>
      <c r="V50" s="64"/>
      <c r="W50" s="64"/>
      <c r="X50" s="65"/>
      <c r="Y50" s="1"/>
      <c r="Z50" s="39"/>
      <c r="AA50" s="9"/>
      <c r="AB50" s="9"/>
      <c r="AC50" s="9"/>
      <c r="AD50" s="9"/>
      <c r="AE50" s="93"/>
      <c r="AF50" s="94"/>
      <c r="AG50" s="1"/>
      <c r="AH50" s="133"/>
      <c r="AI50" s="67"/>
      <c r="AJ50" s="67"/>
      <c r="AK50" s="67"/>
      <c r="AL50" s="67"/>
      <c r="AM50" s="67"/>
      <c r="AN50" s="67"/>
      <c r="AO50" s="67"/>
      <c r="AP50" s="67"/>
      <c r="AQ50" s="67"/>
      <c r="AR50" s="67"/>
      <c r="AS50" s="67"/>
      <c r="AT50" s="67"/>
      <c r="AU50" s="67"/>
      <c r="AV50" s="67"/>
      <c r="AW50" s="67"/>
      <c r="AX50" s="67"/>
      <c r="AY50" s="92"/>
      <c r="AZ50" s="1"/>
      <c r="BA50" s="1"/>
      <c r="BB50" s="1"/>
      <c r="BC50" s="1"/>
      <c r="BD50" s="1"/>
      <c r="BE50" s="1"/>
    </row>
    <row r="51" spans="1:57" ht="12" customHeight="1">
      <c r="A51" s="1"/>
      <c r="B51" s="48"/>
      <c r="C51" s="93"/>
      <c r="D51" s="98"/>
      <c r="E51" s="98"/>
      <c r="F51" s="98"/>
      <c r="G51" s="98"/>
      <c r="H51" s="98"/>
      <c r="I51" s="98"/>
      <c r="J51" s="98"/>
      <c r="K51" s="98"/>
      <c r="L51" s="98"/>
      <c r="M51" s="98"/>
      <c r="N51" s="98"/>
      <c r="O51" s="83"/>
      <c r="P51" s="49"/>
      <c r="Q51" s="141" t="s">
        <v>37</v>
      </c>
      <c r="R51" s="98"/>
      <c r="S51" s="98"/>
      <c r="T51" s="98"/>
      <c r="U51" s="98"/>
      <c r="V51" s="98"/>
      <c r="W51" s="98"/>
      <c r="X51" s="94"/>
      <c r="Y51" s="1"/>
      <c r="Z51" s="128" t="s">
        <v>51</v>
      </c>
      <c r="AA51" s="100"/>
      <c r="AB51" s="100"/>
      <c r="AC51" s="100"/>
      <c r="AD51" s="100"/>
      <c r="AE51" s="100"/>
      <c r="AF51" s="125"/>
      <c r="AG51" s="1"/>
      <c r="AH51" s="134"/>
      <c r="AI51" s="119"/>
      <c r="AJ51" s="119"/>
      <c r="AK51" s="119"/>
      <c r="AL51" s="119"/>
      <c r="AM51" s="119"/>
      <c r="AN51" s="119"/>
      <c r="AO51" s="119"/>
      <c r="AP51" s="119"/>
      <c r="AQ51" s="119"/>
      <c r="AR51" s="119"/>
      <c r="AS51" s="119"/>
      <c r="AT51" s="119"/>
      <c r="AU51" s="119"/>
      <c r="AV51" s="119"/>
      <c r="AW51" s="119"/>
      <c r="AX51" s="119"/>
      <c r="AY51" s="120"/>
      <c r="AZ51" s="1"/>
      <c r="BA51" s="1"/>
      <c r="BB51" s="1"/>
      <c r="BC51" s="1"/>
      <c r="BD51" s="1"/>
      <c r="BE51" s="1"/>
    </row>
    <row r="52" spans="1:57" ht="12" customHeight="1">
      <c r="A52" s="1"/>
      <c r="B52" s="26"/>
      <c r="C52" s="104"/>
      <c r="D52" s="75"/>
      <c r="E52" s="75"/>
      <c r="F52" s="75"/>
      <c r="G52" s="75"/>
      <c r="H52" s="75"/>
      <c r="I52" s="75"/>
      <c r="J52" s="75"/>
      <c r="K52" s="75"/>
      <c r="L52" s="75"/>
      <c r="M52" s="75"/>
      <c r="N52" s="75"/>
      <c r="O52" s="105"/>
      <c r="P52" s="23"/>
      <c r="Q52" s="142" t="s">
        <v>39</v>
      </c>
      <c r="R52" s="75"/>
      <c r="S52" s="75"/>
      <c r="T52" s="75"/>
      <c r="U52" s="75"/>
      <c r="V52" s="75"/>
      <c r="W52" s="75"/>
      <c r="X52" s="76"/>
      <c r="Y52" s="1"/>
      <c r="Z52" s="66"/>
      <c r="AA52" s="67"/>
      <c r="AB52" s="67"/>
      <c r="AC52" s="67"/>
      <c r="AD52" s="67"/>
      <c r="AE52" s="67"/>
      <c r="AF52" s="68"/>
      <c r="AG52" s="1"/>
      <c r="AH52" s="135" t="s">
        <v>52</v>
      </c>
      <c r="AI52" s="100"/>
      <c r="AJ52" s="100"/>
      <c r="AK52" s="100"/>
      <c r="AL52" s="100"/>
      <c r="AM52" s="100"/>
      <c r="AN52" s="100"/>
      <c r="AO52" s="100"/>
      <c r="AP52" s="100"/>
      <c r="AQ52" s="100"/>
      <c r="AR52" s="100"/>
      <c r="AS52" s="100"/>
      <c r="AT52" s="100"/>
      <c r="AU52" s="100"/>
      <c r="AV52" s="100"/>
      <c r="AW52" s="100"/>
      <c r="AX52" s="100"/>
      <c r="AY52" s="101"/>
      <c r="AZ52" s="1"/>
      <c r="BA52" s="1"/>
      <c r="BB52" s="1"/>
      <c r="BC52" s="1"/>
      <c r="BD52" s="1"/>
      <c r="BE52" s="1"/>
    </row>
    <row r="53" spans="1:57" ht="12" customHeight="1">
      <c r="A53" s="1"/>
      <c r="B53" s="1"/>
      <c r="C53" s="1"/>
      <c r="D53" s="1"/>
      <c r="E53" s="1"/>
      <c r="F53" s="1"/>
      <c r="G53" s="1"/>
      <c r="H53" s="1"/>
      <c r="I53" s="1"/>
      <c r="J53" s="1"/>
      <c r="K53" s="1"/>
      <c r="L53" s="1"/>
      <c r="M53" s="1"/>
      <c r="N53" s="1"/>
      <c r="O53" s="1"/>
      <c r="P53" s="1"/>
      <c r="Q53" s="1"/>
      <c r="R53" s="1"/>
      <c r="S53" s="1"/>
      <c r="T53" s="1"/>
      <c r="U53" s="1"/>
      <c r="V53" s="1"/>
      <c r="W53" s="1"/>
      <c r="X53" s="1"/>
      <c r="Y53" s="1"/>
      <c r="Z53" s="74"/>
      <c r="AA53" s="75"/>
      <c r="AB53" s="75"/>
      <c r="AC53" s="75"/>
      <c r="AD53" s="75"/>
      <c r="AE53" s="75"/>
      <c r="AF53" s="76"/>
      <c r="AG53" s="1"/>
      <c r="AH53" s="134"/>
      <c r="AI53" s="119"/>
      <c r="AJ53" s="119"/>
      <c r="AK53" s="119"/>
      <c r="AL53" s="119"/>
      <c r="AM53" s="119"/>
      <c r="AN53" s="119"/>
      <c r="AO53" s="119"/>
      <c r="AP53" s="119"/>
      <c r="AQ53" s="119"/>
      <c r="AR53" s="119"/>
      <c r="AS53" s="119"/>
      <c r="AT53" s="119"/>
      <c r="AU53" s="119"/>
      <c r="AV53" s="119"/>
      <c r="AW53" s="119"/>
      <c r="AX53" s="119"/>
      <c r="AY53" s="120"/>
      <c r="AZ53" s="1"/>
      <c r="BA53" s="1"/>
      <c r="BB53" s="1"/>
      <c r="BC53" s="1"/>
      <c r="BD53" s="1"/>
      <c r="BE53" s="1"/>
    </row>
    <row r="54" spans="1:57" ht="14.2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row>
    <row r="55" spans="1:57" ht="14.2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row>
    <row r="56" spans="1:57" ht="14.2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row>
    <row r="57" spans="1:57" ht="14.2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row>
    <row r="58" spans="1:57" ht="14.2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row>
    <row r="59" spans="1:57" ht="14.2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row>
    <row r="60" spans="1:57" ht="14.2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row>
    <row r="61" spans="1:57" ht="14.2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row>
    <row r="62" spans="1:57" ht="14.2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row>
    <row r="63" spans="1:57" ht="14.2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row>
    <row r="64" spans="1:57" ht="14.2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row>
    <row r="65" spans="1:57" ht="14.2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row>
    <row r="66" spans="1:57" ht="14.2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row>
    <row r="67" spans="1:57" ht="14.2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row>
    <row r="68" spans="1:57" ht="14.2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row>
    <row r="69" spans="1:57" ht="14.2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row>
    <row r="70" spans="1:57" ht="14.2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row>
    <row r="71" spans="1:57" ht="14.2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row>
    <row r="72" spans="1:57" ht="14.2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row>
    <row r="73" spans="1:57" ht="14.2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row>
    <row r="74" spans="1:57" ht="14.2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row>
    <row r="75" spans="1:57" ht="14.2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row>
    <row r="76" spans="1:57" ht="14.2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row>
    <row r="77" spans="1:57" ht="14.2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row>
    <row r="78" spans="1:57" ht="14.2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row>
    <row r="79" spans="1:57" ht="14.2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row>
    <row r="80" spans="1:57" ht="14.2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row>
    <row r="81" spans="1:57" ht="14.2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row>
    <row r="82" spans="1:57" ht="14.2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row>
    <row r="83" spans="1:57" ht="14.2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row>
    <row r="84" spans="1:57" ht="14.2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row>
    <row r="85" spans="1:57" ht="14.2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row>
    <row r="86" spans="1:57" ht="14.2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row>
    <row r="87" spans="1:57" ht="14.2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row>
    <row r="88" spans="1:57" ht="14.2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row>
    <row r="89" spans="1:57" ht="14.2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row>
    <row r="90" spans="1:57" ht="14.2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row>
    <row r="91" spans="1:57" ht="14.2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row>
    <row r="92" spans="1:57" ht="14.2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row>
    <row r="93" spans="1:57" ht="14.2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row>
    <row r="94" spans="1:57" ht="14.2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row>
    <row r="95" spans="1:57" ht="14.2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row>
    <row r="96" spans="1:57" ht="14.2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row>
    <row r="97" spans="1:57" ht="14.2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row>
    <row r="98" spans="1:57" ht="14.2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row>
    <row r="99" spans="1:57" ht="14.2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row>
    <row r="100" spans="1:57" ht="14.2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row>
    <row r="101" spans="1:57" ht="14.2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row>
    <row r="102" spans="1:57" ht="14.2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row>
    <row r="103" spans="1:57" ht="14.2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row>
    <row r="104" spans="1:57" ht="14.2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row>
    <row r="105" spans="1:57" ht="14.2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row>
    <row r="106" spans="1:57" ht="14.2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row>
    <row r="107" spans="1:57" ht="14.2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row>
    <row r="108" spans="1:57" ht="14.2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row>
    <row r="109" spans="1:57" ht="14.2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row>
    <row r="110" spans="1:57" ht="14.2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row>
    <row r="111" spans="1:57" ht="14.2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row>
    <row r="112" spans="1:57" ht="14.2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row>
    <row r="113" spans="1:57" ht="14.2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row>
    <row r="114" spans="1:57" ht="14.2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row>
    <row r="115" spans="1:57" ht="14.2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row>
    <row r="116" spans="1:57" ht="14.2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row>
    <row r="117" spans="1:57" ht="14.2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row>
    <row r="118" spans="1:57" ht="14.2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row>
    <row r="119" spans="1:57" ht="14.2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row>
    <row r="120" spans="1:57" ht="14.2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row>
    <row r="121" spans="1:57" ht="14.2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row>
    <row r="122" spans="1:57" ht="14.2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row>
    <row r="123" spans="1:57" ht="14.2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row>
    <row r="124" spans="1:57" ht="14.2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row>
    <row r="125" spans="1:57" ht="14.2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row>
    <row r="126" spans="1:57" ht="14.2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row>
    <row r="127" spans="1:57" ht="14.2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row>
    <row r="128" spans="1:57" ht="14.2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row>
    <row r="129" spans="1:57" ht="14.2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row>
    <row r="130" spans="1:57" ht="14.2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row>
    <row r="131" spans="1:57" ht="14.2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row>
    <row r="132" spans="1:57" ht="14.2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row>
    <row r="133" spans="1:57" ht="14.2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row>
    <row r="134" spans="1:57" ht="14.2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row>
    <row r="135" spans="1:57" ht="14.2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row>
    <row r="136" spans="1:57" ht="14.2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row>
    <row r="137" spans="1:57" ht="14.2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row>
    <row r="138" spans="1:57" ht="14.2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row>
    <row r="139" spans="1:57" ht="14.2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row>
    <row r="140" spans="1:57" ht="14.2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row>
    <row r="141" spans="1:57" ht="14.2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row>
    <row r="142" spans="1:57" ht="14.2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row>
    <row r="143" spans="1:57" ht="14.2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row>
    <row r="144" spans="1:57" ht="14.2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row>
    <row r="145" spans="1:57" ht="14.2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row>
    <row r="146" spans="1:57" ht="14.2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row>
    <row r="147" spans="1:57" ht="14.2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row>
    <row r="148" spans="1:57" ht="14.2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row>
    <row r="149" spans="1:57" ht="14.2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row>
    <row r="150" spans="1:57" ht="14.2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row>
    <row r="151" spans="1:57" ht="14.2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row>
    <row r="152" spans="1:57" ht="14.2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row>
    <row r="153" spans="1:57" ht="14.2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row>
    <row r="154" spans="1:57" ht="14.2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row>
    <row r="155" spans="1:57" ht="14.2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row>
    <row r="156" spans="1:57" ht="14.2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row>
    <row r="157" spans="1:57" ht="14.2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row>
    <row r="158" spans="1:57" ht="14.2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row>
    <row r="159" spans="1:57" ht="14.2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row>
    <row r="160" spans="1:57" ht="14.2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row>
    <row r="161" spans="1:57" ht="14.2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row>
    <row r="162" spans="1:57" ht="14.2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row>
    <row r="163" spans="1:57" ht="14.2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row>
    <row r="164" spans="1:57" ht="14.2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row>
    <row r="165" spans="1:57" ht="14.2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row>
    <row r="166" spans="1:57" ht="14.2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row>
    <row r="167" spans="1:57" ht="14.2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row>
    <row r="168" spans="1:57" ht="14.2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row>
    <row r="169" spans="1:57" ht="14.2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row>
    <row r="170" spans="1:57" ht="14.2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row>
    <row r="171" spans="1:57" ht="14.2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row>
    <row r="172" spans="1:57" ht="14.2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row>
    <row r="173" spans="1:57" ht="14.2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row>
    <row r="174" spans="1:57" ht="14.2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row>
    <row r="175" spans="1:57" ht="14.2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row>
    <row r="176" spans="1:57" ht="14.2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row>
    <row r="177" spans="1:57" ht="14.2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row>
    <row r="178" spans="1:57" ht="14.2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row>
    <row r="179" spans="1:57" ht="14.2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row>
    <row r="180" spans="1:57" ht="14.2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row>
    <row r="181" spans="1:57" ht="14.2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row>
    <row r="182" spans="1:57" ht="14.2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row>
    <row r="183" spans="1:57" ht="14.2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row>
    <row r="184" spans="1:57" ht="14.2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row>
    <row r="185" spans="1:57" ht="14.2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row>
    <row r="186" spans="1:57" ht="14.2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row>
    <row r="187" spans="1:57" ht="14.2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row>
    <row r="188" spans="1:57" ht="14.2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row>
    <row r="189" spans="1:57" ht="14.2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row>
    <row r="190" spans="1:57" ht="14.2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row>
    <row r="191" spans="1:57" ht="14.2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row>
    <row r="192" spans="1:57" ht="14.2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row>
    <row r="193" spans="1:57" ht="14.2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row>
    <row r="194" spans="1:57" ht="14.2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row>
    <row r="195" spans="1:57" ht="14.2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row>
    <row r="196" spans="1:57" ht="14.2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row>
    <row r="197" spans="1:57" ht="14.2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row>
    <row r="198" spans="1:57" ht="14.2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row>
    <row r="199" spans="1:57" ht="14.2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row>
    <row r="200" spans="1:57" ht="14.2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row>
    <row r="201" spans="1:57" ht="14.2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row>
    <row r="202" spans="1:57" ht="14.2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row>
    <row r="203" spans="1:57" ht="14.2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row>
    <row r="204" spans="1:57" ht="14.2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row>
    <row r="205" spans="1:57" ht="14.2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row>
    <row r="206" spans="1:57" ht="14.2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row>
    <row r="207" spans="1:57" ht="14.2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row>
    <row r="208" spans="1:57" ht="14.2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row>
    <row r="209" spans="1:57" ht="14.2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row>
    <row r="210" spans="1:57" ht="14.2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row>
    <row r="211" spans="1:57" ht="14.2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row>
    <row r="212" spans="1:57" ht="14.2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row>
    <row r="213" spans="1:57" ht="14.2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row>
    <row r="214" spans="1:57" ht="14.2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row>
    <row r="215" spans="1:57" ht="14.2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row>
    <row r="216" spans="1:57" ht="14.2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row>
    <row r="217" spans="1:57" ht="14.2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row>
    <row r="218" spans="1:57" ht="14.2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row>
    <row r="219" spans="1:57" ht="14.2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row>
    <row r="220" spans="1:57" ht="14.2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row>
    <row r="221" spans="1:57" ht="14.2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row>
    <row r="222" spans="1:57" ht="14.2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row>
    <row r="223" spans="1:57" ht="14.2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row>
    <row r="224" spans="1:57" ht="14.2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row>
    <row r="225" spans="1:57" ht="14.2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row>
    <row r="226" spans="1:57" ht="14.2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row>
    <row r="227" spans="1:57" ht="14.2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row>
    <row r="228" spans="1:57" ht="14.2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row>
    <row r="229" spans="1:57" ht="14.2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row>
    <row r="230" spans="1:57" ht="14.2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row>
    <row r="231" spans="1:57" ht="14.2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row>
    <row r="232" spans="1:57" ht="14.2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row>
    <row r="233" spans="1:57" ht="14.2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row>
    <row r="234" spans="1:57" ht="14.2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row>
    <row r="235" spans="1:57" ht="14.2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row>
    <row r="236" spans="1:57" ht="14.2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row>
    <row r="237" spans="1:57" ht="14.2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row>
    <row r="238" spans="1:57" ht="14.2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row>
    <row r="239" spans="1:57" ht="14.2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row>
    <row r="240" spans="1:57" ht="14.2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row>
    <row r="241" spans="1:57" ht="14.2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row>
    <row r="242" spans="1:57" ht="14.2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row>
    <row r="243" spans="1:57" ht="14.2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row>
    <row r="244" spans="1:57" ht="14.2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row>
    <row r="245" spans="1:57" ht="14.2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row>
    <row r="246" spans="1:57" ht="14.2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row>
    <row r="247" spans="1:57" ht="14.2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row>
    <row r="248" spans="1:57" ht="14.2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row>
    <row r="249" spans="1:57" ht="14.2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row>
    <row r="250" spans="1:57" ht="14.2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row>
    <row r="251" spans="1:57" ht="14.2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row>
    <row r="252" spans="1:57" ht="14.2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row>
    <row r="253" spans="1:57" ht="14.2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row>
    <row r="254" spans="1:57" ht="14.2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row>
    <row r="255" spans="1:57" ht="14.2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row>
    <row r="256" spans="1:57" ht="14.2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row>
    <row r="257" spans="1:57" ht="14.2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row>
    <row r="258" spans="1:57" ht="14.2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row>
    <row r="259" spans="1:57" ht="14.2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row>
    <row r="260" spans="1:57" ht="14.2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row>
    <row r="261" spans="1:57" ht="14.2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row>
    <row r="262" spans="1:57" ht="14.2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row>
    <row r="263" spans="1:57" ht="14.2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row>
    <row r="264" spans="1:57" ht="14.2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row>
    <row r="265" spans="1:57" ht="14.2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row>
    <row r="266" spans="1:57" ht="14.2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row>
    <row r="267" spans="1:57" ht="14.2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row>
    <row r="268" spans="1:57" ht="14.2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row>
    <row r="269" spans="1:57" ht="14.2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row>
    <row r="270" spans="1:57" ht="14.2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row>
    <row r="271" spans="1:57" ht="14.2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row>
    <row r="272" spans="1:57" ht="14.2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row>
    <row r="273" spans="1:57" ht="14.2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row>
    <row r="274" spans="1:57" ht="14.2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row>
    <row r="275" spans="1:57" ht="14.2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row>
    <row r="276" spans="1:57" ht="14.2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row>
    <row r="277" spans="1:57" ht="14.2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row>
    <row r="278" spans="1:57" ht="14.2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row>
    <row r="279" spans="1:57" ht="14.2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row>
    <row r="280" spans="1:57" ht="14.2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row>
    <row r="281" spans="1:57" ht="14.2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row>
    <row r="282" spans="1:57" ht="14.2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row>
    <row r="283" spans="1:57" ht="14.2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row>
    <row r="284" spans="1:57" ht="14.2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row>
    <row r="285" spans="1:57" ht="14.2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row>
    <row r="286" spans="1:57" ht="14.2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row>
    <row r="287" spans="1:57" ht="14.2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row>
    <row r="288" spans="1:57" ht="14.2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row>
    <row r="289" spans="1:57" ht="14.2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row>
    <row r="290" spans="1:57" ht="14.2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row>
    <row r="291" spans="1:57" ht="14.2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row>
    <row r="292" spans="1:57" ht="14.2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row>
    <row r="293" spans="1:57" ht="14.2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row>
    <row r="294" spans="1:57" ht="14.2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row>
    <row r="295" spans="1:57" ht="14.2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row>
    <row r="296" spans="1:57" ht="14.2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row>
    <row r="297" spans="1:57" ht="14.2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row>
    <row r="298" spans="1:57" ht="14.2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row>
    <row r="299" spans="1:57" ht="14.2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row>
    <row r="300" spans="1:57" ht="14.2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row>
    <row r="301" spans="1:57" ht="14.2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row>
    <row r="302" spans="1:57" ht="14.2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row>
    <row r="303" spans="1:57" ht="14.2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row>
    <row r="304" spans="1:57" ht="14.2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row>
    <row r="305" spans="1:57" ht="14.2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row>
    <row r="306" spans="1:57" ht="14.2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row>
    <row r="307" spans="1:57" ht="14.2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row>
    <row r="308" spans="1:57" ht="14.2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row>
    <row r="309" spans="1:57" ht="14.2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row>
    <row r="310" spans="1:57" ht="14.2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row>
    <row r="311" spans="1:57" ht="14.2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row>
    <row r="312" spans="1:57" ht="14.2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row>
    <row r="313" spans="1:57" ht="14.2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row>
    <row r="314" spans="1:57" ht="14.2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row>
    <row r="315" spans="1:57" ht="14.2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row>
    <row r="316" spans="1:57" ht="14.2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row>
    <row r="317" spans="1:57" ht="14.2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row>
    <row r="318" spans="1:57" ht="14.2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row>
    <row r="319" spans="1:57" ht="14.2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row>
    <row r="320" spans="1:57" ht="14.2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row>
    <row r="321" spans="1:57" ht="14.2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row>
    <row r="322" spans="1:57" ht="14.2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row>
    <row r="323" spans="1:57" ht="14.2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row>
    <row r="324" spans="1:57" ht="14.2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row>
    <row r="325" spans="1:57" ht="14.2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row>
    <row r="326" spans="1:57" ht="14.2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row>
    <row r="327" spans="1:57" ht="14.2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row>
    <row r="328" spans="1:57" ht="14.2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row>
    <row r="329" spans="1:57" ht="14.2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row>
    <row r="330" spans="1:57" ht="14.2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row>
    <row r="331" spans="1:57" ht="14.2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row>
    <row r="332" spans="1:57" ht="14.2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row>
    <row r="333" spans="1:57" ht="14.2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row>
    <row r="334" spans="1:57" ht="14.2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row>
    <row r="335" spans="1:57" ht="14.2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row>
    <row r="336" spans="1:57" ht="14.2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row>
    <row r="337" spans="1:57" ht="14.2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row>
    <row r="338" spans="1:57" ht="14.2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row>
    <row r="339" spans="1:57" ht="14.2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row>
    <row r="340" spans="1:57" ht="14.2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row>
    <row r="341" spans="1:57" ht="14.2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row>
    <row r="342" spans="1:57" ht="14.2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row>
    <row r="343" spans="1:57" ht="14.2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row>
    <row r="344" spans="1:57" ht="14.2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row>
    <row r="345" spans="1:57" ht="14.2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row>
    <row r="346" spans="1:57" ht="14.2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row>
    <row r="347" spans="1:57" ht="14.2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row>
    <row r="348" spans="1:57" ht="14.2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row>
    <row r="349" spans="1:57" ht="14.2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row>
    <row r="350" spans="1:57" ht="14.2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row>
    <row r="351" spans="1:57" ht="14.2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row>
    <row r="352" spans="1:57" ht="14.2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row>
    <row r="353" spans="1:57" ht="14.2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row>
    <row r="354" spans="1:57" ht="14.2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row>
    <row r="355" spans="1:57" ht="14.2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row>
    <row r="356" spans="1:57" ht="14.2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row>
    <row r="357" spans="1:57" ht="14.2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row>
    <row r="358" spans="1:57" ht="14.2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row>
    <row r="359" spans="1:57" ht="14.2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row>
    <row r="360" spans="1:57" ht="14.2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row>
    <row r="361" spans="1:57" ht="14.2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row>
    <row r="362" spans="1:57" ht="14.2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row>
    <row r="363" spans="1:57" ht="14.2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row>
    <row r="364" spans="1:57" ht="14.2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row>
    <row r="365" spans="1:57" ht="14.2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row>
    <row r="366" spans="1:57" ht="14.2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c r="BC366" s="1"/>
      <c r="BD366" s="1"/>
      <c r="BE366" s="1"/>
    </row>
    <row r="367" spans="1:57" ht="14.2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row>
    <row r="368" spans="1:57" ht="14.2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c r="BC368" s="1"/>
      <c r="BD368" s="1"/>
      <c r="BE368" s="1"/>
    </row>
    <row r="369" spans="1:57" ht="14.2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c r="BC369" s="1"/>
      <c r="BD369" s="1"/>
      <c r="BE369" s="1"/>
    </row>
    <row r="370" spans="1:57" ht="14.2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c r="BC370" s="1"/>
      <c r="BD370" s="1"/>
      <c r="BE370" s="1"/>
    </row>
    <row r="371" spans="1:57" ht="14.2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row>
    <row r="372" spans="1:57" ht="14.2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row>
    <row r="373" spans="1:57" ht="14.2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row>
    <row r="374" spans="1:57" ht="14.2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row>
    <row r="375" spans="1:57" ht="14.2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c r="BC375" s="1"/>
      <c r="BD375" s="1"/>
      <c r="BE375" s="1"/>
    </row>
    <row r="376" spans="1:57" ht="14.2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c r="BC376" s="1"/>
      <c r="BD376" s="1"/>
      <c r="BE376" s="1"/>
    </row>
    <row r="377" spans="1:57" ht="14.2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row>
    <row r="378" spans="1:57" ht="14.2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c r="BC378" s="1"/>
      <c r="BD378" s="1"/>
      <c r="BE378" s="1"/>
    </row>
    <row r="379" spans="1:57" ht="14.2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c r="BC379" s="1"/>
      <c r="BD379" s="1"/>
      <c r="BE379" s="1"/>
    </row>
    <row r="380" spans="1:57" ht="14.2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c r="BC380" s="1"/>
      <c r="BD380" s="1"/>
      <c r="BE380" s="1"/>
    </row>
    <row r="381" spans="1:57" ht="14.2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c r="BC381" s="1"/>
      <c r="BD381" s="1"/>
      <c r="BE381" s="1"/>
    </row>
    <row r="382" spans="1:57" ht="14.2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c r="BC382" s="1"/>
      <c r="BD382" s="1"/>
      <c r="BE382" s="1"/>
    </row>
    <row r="383" spans="1:57" ht="14.2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c r="BC383" s="1"/>
      <c r="BD383" s="1"/>
      <c r="BE383" s="1"/>
    </row>
    <row r="384" spans="1:57" ht="14.2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c r="BC384" s="1"/>
      <c r="BD384" s="1"/>
      <c r="BE384" s="1"/>
    </row>
    <row r="385" spans="1:57" ht="14.2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c r="BB385" s="1"/>
      <c r="BC385" s="1"/>
      <c r="BD385" s="1"/>
      <c r="BE385" s="1"/>
    </row>
    <row r="386" spans="1:57" ht="14.2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c r="BB386" s="1"/>
      <c r="BC386" s="1"/>
      <c r="BD386" s="1"/>
      <c r="BE386" s="1"/>
    </row>
    <row r="387" spans="1:57" ht="14.2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c r="BC387" s="1"/>
      <c r="BD387" s="1"/>
      <c r="BE387" s="1"/>
    </row>
    <row r="388" spans="1:57" ht="14.2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c r="BB388" s="1"/>
      <c r="BC388" s="1"/>
      <c r="BD388" s="1"/>
      <c r="BE388" s="1"/>
    </row>
    <row r="389" spans="1:57" ht="14.2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c r="BC389" s="1"/>
      <c r="BD389" s="1"/>
      <c r="BE389" s="1"/>
    </row>
    <row r="390" spans="1:57" ht="14.2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c r="BB390" s="1"/>
      <c r="BC390" s="1"/>
      <c r="BD390" s="1"/>
      <c r="BE390" s="1"/>
    </row>
    <row r="391" spans="1:57" ht="14.2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c r="BB391" s="1"/>
      <c r="BC391" s="1"/>
      <c r="BD391" s="1"/>
      <c r="BE391" s="1"/>
    </row>
    <row r="392" spans="1:57" ht="14.2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c r="BB392" s="1"/>
      <c r="BC392" s="1"/>
      <c r="BD392" s="1"/>
      <c r="BE392" s="1"/>
    </row>
    <row r="393" spans="1:57" ht="14.2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c r="BC393" s="1"/>
      <c r="BD393" s="1"/>
      <c r="BE393" s="1"/>
    </row>
    <row r="394" spans="1:57" ht="14.2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c r="BB394" s="1"/>
      <c r="BC394" s="1"/>
      <c r="BD394" s="1"/>
      <c r="BE394" s="1"/>
    </row>
    <row r="395" spans="1:57" ht="14.2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c r="BC395" s="1"/>
      <c r="BD395" s="1"/>
      <c r="BE395" s="1"/>
    </row>
    <row r="396" spans="1:57" ht="14.2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c r="BE396" s="1"/>
    </row>
    <row r="397" spans="1:57" ht="14.2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c r="BC397" s="1"/>
      <c r="BD397" s="1"/>
      <c r="BE397" s="1"/>
    </row>
    <row r="398" spans="1:57" ht="14.2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c r="BE398" s="1"/>
    </row>
    <row r="399" spans="1:57" ht="14.2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c r="BC399" s="1"/>
      <c r="BD399" s="1"/>
      <c r="BE399" s="1"/>
    </row>
    <row r="400" spans="1:57" ht="14.2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c r="BC400" s="1"/>
      <c r="BD400" s="1"/>
      <c r="BE400" s="1"/>
    </row>
    <row r="401" spans="1:57" ht="14.2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c r="BC401" s="1"/>
      <c r="BD401" s="1"/>
      <c r="BE401" s="1"/>
    </row>
    <row r="402" spans="1:57" ht="14.2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c r="BB402" s="1"/>
      <c r="BC402" s="1"/>
      <c r="BD402" s="1"/>
      <c r="BE402" s="1"/>
    </row>
    <row r="403" spans="1:57" ht="14.2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c r="BB403" s="1"/>
      <c r="BC403" s="1"/>
      <c r="BD403" s="1"/>
      <c r="BE403" s="1"/>
    </row>
    <row r="404" spans="1:57" ht="14.2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c r="BB404" s="1"/>
      <c r="BC404" s="1"/>
      <c r="BD404" s="1"/>
      <c r="BE404" s="1"/>
    </row>
    <row r="405" spans="1:57" ht="14.2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c r="BE405" s="1"/>
    </row>
    <row r="406" spans="1:57" ht="14.2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c r="BC406" s="1"/>
      <c r="BD406" s="1"/>
      <c r="BE406" s="1"/>
    </row>
    <row r="407" spans="1:57" ht="14.2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c r="BC407" s="1"/>
      <c r="BD407" s="1"/>
      <c r="BE407" s="1"/>
    </row>
    <row r="408" spans="1:57" ht="14.2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c r="BD408" s="1"/>
      <c r="BE408" s="1"/>
    </row>
    <row r="409" spans="1:57" ht="14.2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c r="BB409" s="1"/>
      <c r="BC409" s="1"/>
      <c r="BD409" s="1"/>
      <c r="BE409" s="1"/>
    </row>
    <row r="410" spans="1:57" ht="14.2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c r="BB410" s="1"/>
      <c r="BC410" s="1"/>
      <c r="BD410" s="1"/>
      <c r="BE410" s="1"/>
    </row>
    <row r="411" spans="1:57" ht="14.2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c r="BB411" s="1"/>
      <c r="BC411" s="1"/>
      <c r="BD411" s="1"/>
      <c r="BE411" s="1"/>
    </row>
    <row r="412" spans="1:57" ht="14.2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c r="BB412" s="1"/>
      <c r="BC412" s="1"/>
      <c r="BD412" s="1"/>
      <c r="BE412" s="1"/>
    </row>
    <row r="413" spans="1:57" ht="14.2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row>
    <row r="414" spans="1:57" ht="14.2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row>
    <row r="415" spans="1:57" ht="14.2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row>
    <row r="416" spans="1:57" ht="14.2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row>
    <row r="417" spans="1:57" ht="14.2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row>
    <row r="418" spans="1:57" ht="14.2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row>
    <row r="419" spans="1:57" ht="14.2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row>
    <row r="420" spans="1:57" ht="14.2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row>
    <row r="421" spans="1:57" ht="14.2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row>
    <row r="422" spans="1:57" ht="14.2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row>
    <row r="423" spans="1:57" ht="14.2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row>
    <row r="424" spans="1:57" ht="14.2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row>
    <row r="425" spans="1:57" ht="14.2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row>
    <row r="426" spans="1:57" ht="14.2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row>
    <row r="427" spans="1:57" ht="14.2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row>
    <row r="428" spans="1:57" ht="14.2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row>
    <row r="429" spans="1:57" ht="14.2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row>
    <row r="430" spans="1:57" ht="14.2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row>
    <row r="431" spans="1:57" ht="14.2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row>
    <row r="432" spans="1:57" ht="14.2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row>
    <row r="433" spans="1:57" ht="14.2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row>
    <row r="434" spans="1:57" ht="14.2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row>
    <row r="435" spans="1:57" ht="14.2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row>
    <row r="436" spans="1:57" ht="14.2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row>
    <row r="437" spans="1:57" ht="14.2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row>
    <row r="438" spans="1:57" ht="14.2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row>
    <row r="439" spans="1:57" ht="14.2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row>
    <row r="440" spans="1:57" ht="14.2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row>
    <row r="441" spans="1:57" ht="14.2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row>
    <row r="442" spans="1:57" ht="14.2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row>
    <row r="443" spans="1:57" ht="14.2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row>
    <row r="444" spans="1:57" ht="14.2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row>
    <row r="445" spans="1:57" ht="14.2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row>
    <row r="446" spans="1:57" ht="14.2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row>
    <row r="447" spans="1:57" ht="14.2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row>
    <row r="448" spans="1:57" ht="14.2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row>
    <row r="449" spans="1:57" ht="14.2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row>
    <row r="450" spans="1:57" ht="14.2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row>
    <row r="451" spans="1:57" ht="14.2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row>
    <row r="452" spans="1:57" ht="14.2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row>
    <row r="453" spans="1:57" ht="14.2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row>
    <row r="454" spans="1:57" ht="14.2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row>
    <row r="455" spans="1:57" ht="14.2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row>
    <row r="456" spans="1:57" ht="14.2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row>
    <row r="457" spans="1:57" ht="14.2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row>
    <row r="458" spans="1:57" ht="14.2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row>
    <row r="459" spans="1:57" ht="14.2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row>
    <row r="460" spans="1:57" ht="14.2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row>
    <row r="461" spans="1:57" ht="14.2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row>
    <row r="462" spans="1:57" ht="14.2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row>
    <row r="463" spans="1:57" ht="14.2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row>
    <row r="464" spans="1:57" ht="14.2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row>
    <row r="465" spans="1:57" ht="14.2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row>
    <row r="466" spans="1:57" ht="14.2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row>
    <row r="467" spans="1:57" ht="14.2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row>
    <row r="468" spans="1:57" ht="14.2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row>
    <row r="469" spans="1:57" ht="14.2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row>
    <row r="470" spans="1:57" ht="14.2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row>
    <row r="471" spans="1:57" ht="14.2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row>
    <row r="472" spans="1:57" ht="14.2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row>
    <row r="473" spans="1:57" ht="14.2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row>
    <row r="474" spans="1:57" ht="14.2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row>
    <row r="475" spans="1:57" ht="14.2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row>
    <row r="476" spans="1:57" ht="14.2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row>
    <row r="477" spans="1:57" ht="14.2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row>
    <row r="478" spans="1:57" ht="14.2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row>
    <row r="479" spans="1:57" ht="14.2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row>
    <row r="480" spans="1:57" ht="14.2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row>
    <row r="481" spans="1:57" ht="14.2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row>
    <row r="482" spans="1:57" ht="14.2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row>
    <row r="483" spans="1:57" ht="14.2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row>
    <row r="484" spans="1:57" ht="14.2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row>
    <row r="485" spans="1:57" ht="14.2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row>
    <row r="486" spans="1:57" ht="14.2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row>
    <row r="487" spans="1:57" ht="14.2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row>
    <row r="488" spans="1:57" ht="14.2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row>
    <row r="489" spans="1:57" ht="14.2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row>
    <row r="490" spans="1:57" ht="14.2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row>
    <row r="491" spans="1:57" ht="14.2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row>
    <row r="492" spans="1:57" ht="14.2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row>
    <row r="493" spans="1:57" ht="14.2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row>
    <row r="494" spans="1:57" ht="14.2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row>
    <row r="495" spans="1:57" ht="14.2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row>
    <row r="496" spans="1:57" ht="14.2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row>
    <row r="497" spans="1:57" ht="14.2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row>
    <row r="498" spans="1:57" ht="14.2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row>
    <row r="499" spans="1:57" ht="14.2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row>
    <row r="500" spans="1:57" ht="14.2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row>
    <row r="501" spans="1:57" ht="14.2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row>
    <row r="502" spans="1:57" ht="14.2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row>
    <row r="503" spans="1:57" ht="14.2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row>
    <row r="504" spans="1:57" ht="14.2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row>
    <row r="505" spans="1:57" ht="14.2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row>
    <row r="506" spans="1:57" ht="14.2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row>
    <row r="507" spans="1:57" ht="14.2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row>
    <row r="508" spans="1:57" ht="14.2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row>
    <row r="509" spans="1:57" ht="14.2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row>
    <row r="510" spans="1:57" ht="14.2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row>
    <row r="511" spans="1:57" ht="14.2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row>
    <row r="512" spans="1:57" ht="14.2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row>
    <row r="513" spans="1:57" ht="14.2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row>
    <row r="514" spans="1:57" ht="14.2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row>
    <row r="515" spans="1:57" ht="14.2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row>
    <row r="516" spans="1:57" ht="14.2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row>
    <row r="517" spans="1:57" ht="14.2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row>
    <row r="518" spans="1:57" ht="14.2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row>
    <row r="519" spans="1:57" ht="14.2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row>
    <row r="520" spans="1:57" ht="14.2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row>
    <row r="521" spans="1:57" ht="14.2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row>
    <row r="522" spans="1:57" ht="14.2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row>
    <row r="523" spans="1:57" ht="14.2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row>
    <row r="524" spans="1:57" ht="14.2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row>
    <row r="525" spans="1:57" ht="14.2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row>
    <row r="526" spans="1:57" ht="14.2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row>
    <row r="527" spans="1:57" ht="14.2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row>
    <row r="528" spans="1:57" ht="14.2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row>
    <row r="529" spans="1:57" ht="14.2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row>
    <row r="530" spans="1:57" ht="14.2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row>
    <row r="531" spans="1:57" ht="14.2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row>
    <row r="532" spans="1:57" ht="14.2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row>
    <row r="533" spans="1:57" ht="14.2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row>
    <row r="534" spans="1:57" ht="14.2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row>
    <row r="535" spans="1:57" ht="14.2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row>
    <row r="536" spans="1:57" ht="14.2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row>
    <row r="537" spans="1:57" ht="14.2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row>
    <row r="538" spans="1:57" ht="14.2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row>
    <row r="539" spans="1:57" ht="14.2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row>
    <row r="540" spans="1:57" ht="14.2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row>
    <row r="541" spans="1:57" ht="14.2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row>
    <row r="542" spans="1:57" ht="14.2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row>
    <row r="543" spans="1:57" ht="14.2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row>
    <row r="544" spans="1:57" ht="14.2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row>
    <row r="545" spans="1:57" ht="14.2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row>
    <row r="546" spans="1:57" ht="14.2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row>
    <row r="547" spans="1:57" ht="14.2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row>
    <row r="548" spans="1:57" ht="14.2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row>
    <row r="549" spans="1:57" ht="14.2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row>
    <row r="550" spans="1:57" ht="14.2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row>
    <row r="551" spans="1:57" ht="14.2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row>
    <row r="552" spans="1:57" ht="14.2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row>
    <row r="553" spans="1:57" ht="14.2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c r="BA553" s="1"/>
      <c r="BB553" s="1"/>
      <c r="BC553" s="1"/>
      <c r="BD553" s="1"/>
      <c r="BE553" s="1"/>
    </row>
    <row r="554" spans="1:57" ht="14.2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c r="BA554" s="1"/>
      <c r="BB554" s="1"/>
      <c r="BC554" s="1"/>
      <c r="BD554" s="1"/>
      <c r="BE554" s="1"/>
    </row>
    <row r="555" spans="1:57" ht="14.2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c r="BA555" s="1"/>
      <c r="BB555" s="1"/>
      <c r="BC555" s="1"/>
      <c r="BD555" s="1"/>
      <c r="BE555" s="1"/>
    </row>
    <row r="556" spans="1:57" ht="14.2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c r="BA556" s="1"/>
      <c r="BB556" s="1"/>
      <c r="BC556" s="1"/>
      <c r="BD556" s="1"/>
      <c r="BE556" s="1"/>
    </row>
    <row r="557" spans="1:57" ht="14.2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c r="BA557" s="1"/>
      <c r="BB557" s="1"/>
      <c r="BC557" s="1"/>
      <c r="BD557" s="1"/>
      <c r="BE557" s="1"/>
    </row>
    <row r="558" spans="1:57" ht="14.2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c r="BA558" s="1"/>
      <c r="BB558" s="1"/>
      <c r="BC558" s="1"/>
      <c r="BD558" s="1"/>
      <c r="BE558" s="1"/>
    </row>
    <row r="559" spans="1:57" ht="14.2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c r="BA559" s="1"/>
      <c r="BB559" s="1"/>
      <c r="BC559" s="1"/>
      <c r="BD559" s="1"/>
      <c r="BE559" s="1"/>
    </row>
    <row r="560" spans="1:57" ht="14.2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c r="BA560" s="1"/>
      <c r="BB560" s="1"/>
      <c r="BC560" s="1"/>
      <c r="BD560" s="1"/>
      <c r="BE560" s="1"/>
    </row>
    <row r="561" spans="1:57" ht="14.2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c r="BA561" s="1"/>
      <c r="BB561" s="1"/>
      <c r="BC561" s="1"/>
      <c r="BD561" s="1"/>
      <c r="BE561" s="1"/>
    </row>
    <row r="562" spans="1:57" ht="14.2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c r="BA562" s="1"/>
      <c r="BB562" s="1"/>
      <c r="BC562" s="1"/>
      <c r="BD562" s="1"/>
      <c r="BE562" s="1"/>
    </row>
    <row r="563" spans="1:57" ht="14.2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c r="BA563" s="1"/>
      <c r="BB563" s="1"/>
      <c r="BC563" s="1"/>
      <c r="BD563" s="1"/>
      <c r="BE563" s="1"/>
    </row>
    <row r="564" spans="1:57" ht="14.2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c r="BA564" s="1"/>
      <c r="BB564" s="1"/>
      <c r="BC564" s="1"/>
      <c r="BD564" s="1"/>
      <c r="BE564" s="1"/>
    </row>
    <row r="565" spans="1:57" ht="14.2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c r="BA565" s="1"/>
      <c r="BB565" s="1"/>
      <c r="BC565" s="1"/>
      <c r="BD565" s="1"/>
      <c r="BE565" s="1"/>
    </row>
    <row r="566" spans="1:57" ht="14.2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c r="BA566" s="1"/>
      <c r="BB566" s="1"/>
      <c r="BC566" s="1"/>
      <c r="BD566" s="1"/>
      <c r="BE566" s="1"/>
    </row>
    <row r="567" spans="1:57" ht="14.2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c r="BA567" s="1"/>
      <c r="BB567" s="1"/>
      <c r="BC567" s="1"/>
      <c r="BD567" s="1"/>
      <c r="BE567" s="1"/>
    </row>
    <row r="568" spans="1:57" ht="14.2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c r="BA568" s="1"/>
      <c r="BB568" s="1"/>
      <c r="BC568" s="1"/>
      <c r="BD568" s="1"/>
      <c r="BE568" s="1"/>
    </row>
    <row r="569" spans="1:57" ht="14.2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c r="BA569" s="1"/>
      <c r="BB569" s="1"/>
      <c r="BC569" s="1"/>
      <c r="BD569" s="1"/>
      <c r="BE569" s="1"/>
    </row>
    <row r="570" spans="1:57" ht="14.2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c r="BA570" s="1"/>
      <c r="BB570" s="1"/>
      <c r="BC570" s="1"/>
      <c r="BD570" s="1"/>
      <c r="BE570" s="1"/>
    </row>
    <row r="571" spans="1:57" ht="14.2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c r="BA571" s="1"/>
      <c r="BB571" s="1"/>
      <c r="BC571" s="1"/>
      <c r="BD571" s="1"/>
      <c r="BE571" s="1"/>
    </row>
    <row r="572" spans="1:57" ht="14.2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c r="BA572" s="1"/>
      <c r="BB572" s="1"/>
      <c r="BC572" s="1"/>
      <c r="BD572" s="1"/>
      <c r="BE572" s="1"/>
    </row>
    <row r="573" spans="1:57" ht="14.2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c r="BA573" s="1"/>
      <c r="BB573" s="1"/>
      <c r="BC573" s="1"/>
      <c r="BD573" s="1"/>
      <c r="BE573" s="1"/>
    </row>
    <row r="574" spans="1:57" ht="14.2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c r="BA574" s="1"/>
      <c r="BB574" s="1"/>
      <c r="BC574" s="1"/>
      <c r="BD574" s="1"/>
      <c r="BE574" s="1"/>
    </row>
    <row r="575" spans="1:57" ht="14.2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c r="BA575" s="1"/>
      <c r="BB575" s="1"/>
      <c r="BC575" s="1"/>
      <c r="BD575" s="1"/>
      <c r="BE575" s="1"/>
    </row>
    <row r="576" spans="1:57" ht="14.2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c r="BA576" s="1"/>
      <c r="BB576" s="1"/>
      <c r="BC576" s="1"/>
      <c r="BD576" s="1"/>
      <c r="BE576" s="1"/>
    </row>
    <row r="577" spans="1:57" ht="14.2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c r="BA577" s="1"/>
      <c r="BB577" s="1"/>
      <c r="BC577" s="1"/>
      <c r="BD577" s="1"/>
      <c r="BE577" s="1"/>
    </row>
    <row r="578" spans="1:57" ht="14.2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c r="BA578" s="1"/>
      <c r="BB578" s="1"/>
      <c r="BC578" s="1"/>
      <c r="BD578" s="1"/>
      <c r="BE578" s="1"/>
    </row>
    <row r="579" spans="1:57" ht="14.2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c r="BA579" s="1"/>
      <c r="BB579" s="1"/>
      <c r="BC579" s="1"/>
      <c r="BD579" s="1"/>
      <c r="BE579" s="1"/>
    </row>
    <row r="580" spans="1:57" ht="14.2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c r="BA580" s="1"/>
      <c r="BB580" s="1"/>
      <c r="BC580" s="1"/>
      <c r="BD580" s="1"/>
      <c r="BE580" s="1"/>
    </row>
    <row r="581" spans="1:57" ht="14.2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c r="BA581" s="1"/>
      <c r="BB581" s="1"/>
      <c r="BC581" s="1"/>
      <c r="BD581" s="1"/>
      <c r="BE581" s="1"/>
    </row>
    <row r="582" spans="1:57" ht="14.2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c r="BA582" s="1"/>
      <c r="BB582" s="1"/>
      <c r="BC582" s="1"/>
      <c r="BD582" s="1"/>
      <c r="BE582" s="1"/>
    </row>
    <row r="583" spans="1:57" ht="14.2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c r="BA583" s="1"/>
      <c r="BB583" s="1"/>
      <c r="BC583" s="1"/>
      <c r="BD583" s="1"/>
      <c r="BE583" s="1"/>
    </row>
    <row r="584" spans="1:57" ht="14.2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c r="BA584" s="1"/>
      <c r="BB584" s="1"/>
      <c r="BC584" s="1"/>
      <c r="BD584" s="1"/>
      <c r="BE584" s="1"/>
    </row>
    <row r="585" spans="1:57" ht="14.2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c r="BA585" s="1"/>
      <c r="BB585" s="1"/>
      <c r="BC585" s="1"/>
      <c r="BD585" s="1"/>
      <c r="BE585" s="1"/>
    </row>
    <row r="586" spans="1:57" ht="14.2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c r="BA586" s="1"/>
      <c r="BB586" s="1"/>
      <c r="BC586" s="1"/>
      <c r="BD586" s="1"/>
      <c r="BE586" s="1"/>
    </row>
    <row r="587" spans="1:57" ht="14.2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c r="BA587" s="1"/>
      <c r="BB587" s="1"/>
      <c r="BC587" s="1"/>
      <c r="BD587" s="1"/>
      <c r="BE587" s="1"/>
    </row>
    <row r="588" spans="1:57" ht="14.2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c r="BA588" s="1"/>
      <c r="BB588" s="1"/>
      <c r="BC588" s="1"/>
      <c r="BD588" s="1"/>
      <c r="BE588" s="1"/>
    </row>
    <row r="589" spans="1:57" ht="14.2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c r="BA589" s="1"/>
      <c r="BB589" s="1"/>
      <c r="BC589" s="1"/>
      <c r="BD589" s="1"/>
      <c r="BE589" s="1"/>
    </row>
    <row r="590" spans="1:57" ht="14.2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c r="BA590" s="1"/>
      <c r="BB590" s="1"/>
      <c r="BC590" s="1"/>
      <c r="BD590" s="1"/>
      <c r="BE590" s="1"/>
    </row>
    <row r="591" spans="1:57" ht="14.2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c r="BA591" s="1"/>
      <c r="BB591" s="1"/>
      <c r="BC591" s="1"/>
      <c r="BD591" s="1"/>
      <c r="BE591" s="1"/>
    </row>
    <row r="592" spans="1:57" ht="14.2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c r="BA592" s="1"/>
      <c r="BB592" s="1"/>
      <c r="BC592" s="1"/>
      <c r="BD592" s="1"/>
      <c r="BE592" s="1"/>
    </row>
    <row r="593" spans="1:57" ht="14.2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c r="BA593" s="1"/>
      <c r="BB593" s="1"/>
      <c r="BC593" s="1"/>
      <c r="BD593" s="1"/>
      <c r="BE593" s="1"/>
    </row>
    <row r="594" spans="1:57" ht="14.2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c r="BA594" s="1"/>
      <c r="BB594" s="1"/>
      <c r="BC594" s="1"/>
      <c r="BD594" s="1"/>
      <c r="BE594" s="1"/>
    </row>
    <row r="595" spans="1:57" ht="14.2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c r="BA595" s="1"/>
      <c r="BB595" s="1"/>
      <c r="BC595" s="1"/>
      <c r="BD595" s="1"/>
      <c r="BE595" s="1"/>
    </row>
    <row r="596" spans="1:57" ht="14.2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c r="BA596" s="1"/>
      <c r="BB596" s="1"/>
      <c r="BC596" s="1"/>
      <c r="BD596" s="1"/>
      <c r="BE596" s="1"/>
    </row>
    <row r="597" spans="1:57" ht="14.2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c r="BA597" s="1"/>
      <c r="BB597" s="1"/>
      <c r="BC597" s="1"/>
      <c r="BD597" s="1"/>
      <c r="BE597" s="1"/>
    </row>
    <row r="598" spans="1:57" ht="14.2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c r="BA598" s="1"/>
      <c r="BB598" s="1"/>
      <c r="BC598" s="1"/>
      <c r="BD598" s="1"/>
      <c r="BE598" s="1"/>
    </row>
    <row r="599" spans="1:57" ht="14.2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c r="BA599" s="1"/>
      <c r="BB599" s="1"/>
      <c r="BC599" s="1"/>
      <c r="BD599" s="1"/>
      <c r="BE599" s="1"/>
    </row>
    <row r="600" spans="1:57" ht="14.2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c r="BA600" s="1"/>
      <c r="BB600" s="1"/>
      <c r="BC600" s="1"/>
      <c r="BD600" s="1"/>
      <c r="BE600" s="1"/>
    </row>
    <row r="601" spans="1:57" ht="14.2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c r="BA601" s="1"/>
      <c r="BB601" s="1"/>
      <c r="BC601" s="1"/>
      <c r="BD601" s="1"/>
      <c r="BE601" s="1"/>
    </row>
    <row r="602" spans="1:57" ht="14.2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c r="BA602" s="1"/>
      <c r="BB602" s="1"/>
      <c r="BC602" s="1"/>
      <c r="BD602" s="1"/>
      <c r="BE602" s="1"/>
    </row>
    <row r="603" spans="1:57" ht="14.2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c r="BA603" s="1"/>
      <c r="BB603" s="1"/>
      <c r="BC603" s="1"/>
      <c r="BD603" s="1"/>
      <c r="BE603" s="1"/>
    </row>
    <row r="604" spans="1:57" ht="14.2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c r="BA604" s="1"/>
      <c r="BB604" s="1"/>
      <c r="BC604" s="1"/>
      <c r="BD604" s="1"/>
      <c r="BE604" s="1"/>
    </row>
    <row r="605" spans="1:57" ht="14.2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c r="BA605" s="1"/>
      <c r="BB605" s="1"/>
      <c r="BC605" s="1"/>
      <c r="BD605" s="1"/>
      <c r="BE605" s="1"/>
    </row>
    <row r="606" spans="1:57" ht="14.2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c r="BA606" s="1"/>
      <c r="BB606" s="1"/>
      <c r="BC606" s="1"/>
      <c r="BD606" s="1"/>
      <c r="BE606" s="1"/>
    </row>
    <row r="607" spans="1:57" ht="14.2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c r="BA607" s="1"/>
      <c r="BB607" s="1"/>
      <c r="BC607" s="1"/>
      <c r="BD607" s="1"/>
      <c r="BE607" s="1"/>
    </row>
    <row r="608" spans="1:57" ht="14.2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c r="BA608" s="1"/>
      <c r="BB608" s="1"/>
      <c r="BC608" s="1"/>
      <c r="BD608" s="1"/>
      <c r="BE608" s="1"/>
    </row>
    <row r="609" spans="1:57" ht="14.2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c r="BA609" s="1"/>
      <c r="BB609" s="1"/>
      <c r="BC609" s="1"/>
      <c r="BD609" s="1"/>
      <c r="BE609" s="1"/>
    </row>
    <row r="610" spans="1:57" ht="14.2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c r="BA610" s="1"/>
      <c r="BB610" s="1"/>
      <c r="BC610" s="1"/>
      <c r="BD610" s="1"/>
      <c r="BE610" s="1"/>
    </row>
    <row r="611" spans="1:57" ht="14.2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c r="BA611" s="1"/>
      <c r="BB611" s="1"/>
      <c r="BC611" s="1"/>
      <c r="BD611" s="1"/>
      <c r="BE611" s="1"/>
    </row>
    <row r="612" spans="1:57" ht="14.2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c r="BA612" s="1"/>
      <c r="BB612" s="1"/>
      <c r="BC612" s="1"/>
      <c r="BD612" s="1"/>
      <c r="BE612" s="1"/>
    </row>
    <row r="613" spans="1:57" ht="14.2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c r="BA613" s="1"/>
      <c r="BB613" s="1"/>
      <c r="BC613" s="1"/>
      <c r="BD613" s="1"/>
      <c r="BE613" s="1"/>
    </row>
    <row r="614" spans="1:57" ht="14.2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c r="BA614" s="1"/>
      <c r="BB614" s="1"/>
      <c r="BC614" s="1"/>
      <c r="BD614" s="1"/>
      <c r="BE614" s="1"/>
    </row>
    <row r="615" spans="1:57" ht="14.2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c r="BA615" s="1"/>
      <c r="BB615" s="1"/>
      <c r="BC615" s="1"/>
      <c r="BD615" s="1"/>
      <c r="BE615" s="1"/>
    </row>
    <row r="616" spans="1:57" ht="14.2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c r="BA616" s="1"/>
      <c r="BB616" s="1"/>
      <c r="BC616" s="1"/>
      <c r="BD616" s="1"/>
      <c r="BE616" s="1"/>
    </row>
    <row r="617" spans="1:57" ht="14.2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c r="BA617" s="1"/>
      <c r="BB617" s="1"/>
      <c r="BC617" s="1"/>
      <c r="BD617" s="1"/>
      <c r="BE617" s="1"/>
    </row>
    <row r="618" spans="1:57" ht="14.2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c r="BA618" s="1"/>
      <c r="BB618" s="1"/>
      <c r="BC618" s="1"/>
      <c r="BD618" s="1"/>
      <c r="BE618" s="1"/>
    </row>
    <row r="619" spans="1:57" ht="14.2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c r="BA619" s="1"/>
      <c r="BB619" s="1"/>
      <c r="BC619" s="1"/>
      <c r="BD619" s="1"/>
      <c r="BE619" s="1"/>
    </row>
    <row r="620" spans="1:57" ht="14.2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c r="BA620" s="1"/>
      <c r="BB620" s="1"/>
      <c r="BC620" s="1"/>
      <c r="BD620" s="1"/>
      <c r="BE620" s="1"/>
    </row>
    <row r="621" spans="1:57" ht="14.2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c r="BA621" s="1"/>
      <c r="BB621" s="1"/>
      <c r="BC621" s="1"/>
      <c r="BD621" s="1"/>
      <c r="BE621" s="1"/>
    </row>
    <row r="622" spans="1:57" ht="14.2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c r="BA622" s="1"/>
      <c r="BB622" s="1"/>
      <c r="BC622" s="1"/>
      <c r="BD622" s="1"/>
      <c r="BE622" s="1"/>
    </row>
    <row r="623" spans="1:57" ht="14.2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c r="BA623" s="1"/>
      <c r="BB623" s="1"/>
      <c r="BC623" s="1"/>
      <c r="BD623" s="1"/>
      <c r="BE623" s="1"/>
    </row>
    <row r="624" spans="1:57" ht="14.2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c r="BA624" s="1"/>
      <c r="BB624" s="1"/>
      <c r="BC624" s="1"/>
      <c r="BD624" s="1"/>
      <c r="BE624" s="1"/>
    </row>
    <row r="625" spans="1:57" ht="14.2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c r="BA625" s="1"/>
      <c r="BB625" s="1"/>
      <c r="BC625" s="1"/>
      <c r="BD625" s="1"/>
      <c r="BE625" s="1"/>
    </row>
    <row r="626" spans="1:57" ht="14.2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c r="BA626" s="1"/>
      <c r="BB626" s="1"/>
      <c r="BC626" s="1"/>
      <c r="BD626" s="1"/>
      <c r="BE626" s="1"/>
    </row>
    <row r="627" spans="1:57" ht="14.2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row>
    <row r="628" spans="1:57" ht="14.2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row>
    <row r="629" spans="1:57" ht="14.2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row>
    <row r="630" spans="1:57" ht="14.2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row>
    <row r="631" spans="1:57" ht="14.2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row>
    <row r="632" spans="1:57" ht="14.2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row>
    <row r="633" spans="1:57" ht="14.2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row>
    <row r="634" spans="1:57" ht="14.2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row>
    <row r="635" spans="1:57" ht="14.2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row>
    <row r="636" spans="1:57" ht="14.2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row>
    <row r="637" spans="1:57" ht="14.2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row>
    <row r="638" spans="1:57" ht="14.2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row>
    <row r="639" spans="1:57" ht="14.2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row>
    <row r="640" spans="1:57" ht="14.2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row>
    <row r="641" spans="1:57" ht="14.2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row>
    <row r="642" spans="1:57" ht="14.2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row>
    <row r="643" spans="1:57" ht="14.2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row>
    <row r="644" spans="1:57" ht="14.2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row>
    <row r="645" spans="1:57" ht="14.2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row>
    <row r="646" spans="1:57" ht="14.2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row>
    <row r="647" spans="1:57" ht="14.2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row>
    <row r="648" spans="1:57" ht="14.2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row>
    <row r="649" spans="1:57" ht="14.2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row>
    <row r="650" spans="1:57" ht="14.2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row>
    <row r="651" spans="1:57" ht="14.2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row>
    <row r="652" spans="1:57" ht="14.2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row>
    <row r="653" spans="1:57" ht="14.2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row>
    <row r="654" spans="1:57" ht="14.2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row>
    <row r="655" spans="1:57" ht="14.2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row>
    <row r="656" spans="1:57" ht="14.2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row>
    <row r="657" spans="1:57" ht="14.2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row>
    <row r="658" spans="1:57" ht="14.2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row>
    <row r="659" spans="1:57" ht="14.2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row>
    <row r="660" spans="1:57" ht="14.2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row>
    <row r="661" spans="1:57" ht="14.2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row>
    <row r="662" spans="1:57" ht="14.2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row>
    <row r="663" spans="1:57" ht="14.2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row>
    <row r="664" spans="1:57" ht="14.2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row>
    <row r="665" spans="1:57" ht="14.2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row>
    <row r="666" spans="1:57" ht="14.2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row>
    <row r="667" spans="1:57" ht="14.2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row>
    <row r="668" spans="1:57" ht="14.2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row>
    <row r="669" spans="1:57" ht="14.2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row>
    <row r="670" spans="1:57" ht="14.2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row>
    <row r="671" spans="1:57" ht="14.2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row>
    <row r="672" spans="1:57" ht="14.2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row>
    <row r="673" spans="1:57" ht="14.2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row>
    <row r="674" spans="1:57" ht="14.2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row>
    <row r="675" spans="1:57" ht="14.2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row>
    <row r="676" spans="1:57" ht="14.2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row>
    <row r="677" spans="1:57" ht="14.2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row>
    <row r="678" spans="1:57" ht="14.2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row>
    <row r="679" spans="1:57" ht="14.2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row>
    <row r="680" spans="1:57" ht="14.2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row>
    <row r="681" spans="1:57" ht="14.2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row>
    <row r="682" spans="1:57" ht="14.2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row>
    <row r="683" spans="1:57" ht="14.2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row>
    <row r="684" spans="1:57" ht="14.2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row>
    <row r="685" spans="1:57" ht="14.2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row>
    <row r="686" spans="1:57" ht="14.2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row>
    <row r="687" spans="1:57" ht="14.2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row>
    <row r="688" spans="1:57" ht="14.2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row>
    <row r="689" spans="1:57" ht="14.2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row>
    <row r="690" spans="1:57" ht="14.2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row>
    <row r="691" spans="1:57" ht="14.2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row>
    <row r="692" spans="1:57" ht="14.2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row>
    <row r="693" spans="1:57" ht="14.2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row>
    <row r="694" spans="1:57" ht="14.2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row>
    <row r="695" spans="1:57" ht="14.2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row>
    <row r="696" spans="1:57" ht="14.2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row>
    <row r="697" spans="1:57" ht="14.2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row>
    <row r="698" spans="1:57" ht="14.2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row>
    <row r="699" spans="1:57" ht="14.2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row>
    <row r="700" spans="1:57" ht="14.2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row>
    <row r="701" spans="1:57" ht="14.2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row>
    <row r="702" spans="1:57" ht="14.2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row>
    <row r="703" spans="1:57" ht="14.2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row>
    <row r="704" spans="1:57" ht="14.2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row>
    <row r="705" spans="1:57" ht="14.2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row>
    <row r="706" spans="1:57" ht="14.2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row>
    <row r="707" spans="1:57" ht="14.2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row>
    <row r="708" spans="1:57" ht="14.2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row>
    <row r="709" spans="1:57" ht="14.2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row>
    <row r="710" spans="1:57" ht="14.2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row>
    <row r="711" spans="1:57" ht="14.2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row>
    <row r="712" spans="1:57" ht="14.2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row>
    <row r="713" spans="1:57" ht="14.2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row>
    <row r="714" spans="1:57" ht="14.2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row>
    <row r="715" spans="1:57" ht="14.2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row>
    <row r="716" spans="1:57" ht="14.2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row>
    <row r="717" spans="1:57" ht="14.2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row>
    <row r="718" spans="1:57" ht="14.2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row>
    <row r="719" spans="1:57" ht="14.2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row>
    <row r="720" spans="1:57" ht="14.2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row>
    <row r="721" spans="1:57" ht="14.2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row>
    <row r="722" spans="1:57" ht="14.2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row>
    <row r="723" spans="1:57" ht="14.2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row>
    <row r="724" spans="1:57" ht="14.2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row>
    <row r="725" spans="1:57" ht="14.2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row>
    <row r="726" spans="1:57" ht="14.2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row>
    <row r="727" spans="1:57" ht="14.2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row>
    <row r="728" spans="1:57" ht="14.2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row>
    <row r="729" spans="1:57" ht="14.2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row>
    <row r="730" spans="1:57" ht="14.2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row>
    <row r="731" spans="1:57" ht="14.2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row>
    <row r="732" spans="1:57" ht="14.2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row>
    <row r="733" spans="1:57" ht="14.2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row>
    <row r="734" spans="1:57" ht="14.2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row>
    <row r="735" spans="1:57" ht="14.2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row>
    <row r="736" spans="1:57" ht="14.2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row>
    <row r="737" spans="1:57" ht="14.2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row>
    <row r="738" spans="1:57" ht="14.2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row>
    <row r="739" spans="1:57" ht="14.2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row>
    <row r="740" spans="1:57" ht="14.2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row>
    <row r="741" spans="1:57" ht="14.2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row>
    <row r="742" spans="1:57" ht="14.2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row>
    <row r="743" spans="1:57" ht="14.2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row>
    <row r="744" spans="1:57" ht="14.2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row>
    <row r="745" spans="1:57" ht="14.2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row>
    <row r="746" spans="1:57" ht="14.2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row>
    <row r="747" spans="1:57" ht="14.2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row>
    <row r="748" spans="1:57" ht="14.2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row>
    <row r="749" spans="1:57" ht="14.2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row>
    <row r="750" spans="1:57" ht="14.2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row>
    <row r="751" spans="1:57" ht="14.2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row>
    <row r="752" spans="1:57" ht="14.2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row>
    <row r="753" spans="1:57" ht="14.2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row>
    <row r="754" spans="1:57" ht="14.2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row>
    <row r="755" spans="1:57" ht="14.2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row>
    <row r="756" spans="1:57" ht="14.2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row>
    <row r="757" spans="1:57" ht="14.2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row>
    <row r="758" spans="1:57" ht="14.2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row>
    <row r="759" spans="1:57" ht="14.2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row>
    <row r="760" spans="1:57" ht="14.2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row>
    <row r="761" spans="1:57" ht="14.2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row>
    <row r="762" spans="1:57" ht="14.2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row>
    <row r="763" spans="1:57" ht="14.2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row>
    <row r="764" spans="1:57" ht="14.2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row>
    <row r="765" spans="1:57" ht="14.2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row>
    <row r="766" spans="1:57" ht="14.2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row>
    <row r="767" spans="1:57" ht="14.2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row>
    <row r="768" spans="1:57" ht="14.2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row>
    <row r="769" spans="1:57" ht="14.2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row>
    <row r="770" spans="1:57" ht="14.2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row>
    <row r="771" spans="1:57" ht="14.2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row>
    <row r="772" spans="1:57" ht="14.2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row>
    <row r="773" spans="1:57" ht="14.2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row>
    <row r="774" spans="1:57" ht="14.2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row>
    <row r="775" spans="1:57" ht="14.2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row>
    <row r="776" spans="1:57" ht="14.2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row>
    <row r="777" spans="1:57" ht="14.2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row>
    <row r="778" spans="1:57" ht="14.2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row>
    <row r="779" spans="1:57" ht="14.2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row>
    <row r="780" spans="1:57" ht="14.2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row>
    <row r="781" spans="1:57" ht="14.2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row>
    <row r="782" spans="1:57" ht="14.2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row>
    <row r="783" spans="1:57" ht="14.2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row>
    <row r="784" spans="1:57" ht="14.2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row>
    <row r="785" spans="1:57" ht="14.2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row>
    <row r="786" spans="1:57" ht="14.2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row>
    <row r="787" spans="1:57" ht="14.2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row>
    <row r="788" spans="1:57" ht="14.2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row>
    <row r="789" spans="1:57" ht="14.2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row>
    <row r="790" spans="1:57" ht="14.2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row>
    <row r="791" spans="1:57" ht="14.2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row>
    <row r="792" spans="1:57" ht="14.2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row>
    <row r="793" spans="1:57" ht="14.2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row>
    <row r="794" spans="1:57" ht="14.2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row>
    <row r="795" spans="1:57" ht="14.2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row>
    <row r="796" spans="1:57" ht="14.2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row>
    <row r="797" spans="1:57" ht="14.2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row>
    <row r="798" spans="1:57" ht="14.2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row>
    <row r="799" spans="1:57" ht="14.2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row>
    <row r="800" spans="1:57" ht="14.2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row>
    <row r="801" spans="1:57" ht="14.2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row>
    <row r="802" spans="1:57" ht="14.2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row>
    <row r="803" spans="1:57" ht="14.2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row>
    <row r="804" spans="1:57" ht="14.2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row>
    <row r="805" spans="1:57" ht="14.2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row>
    <row r="806" spans="1:57" ht="14.2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row>
    <row r="807" spans="1:57" ht="14.2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row>
    <row r="808" spans="1:57" ht="14.2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row>
    <row r="809" spans="1:57" ht="14.2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row>
    <row r="810" spans="1:57" ht="14.2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row>
    <row r="811" spans="1:57" ht="14.2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row>
    <row r="812" spans="1:57" ht="14.2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row>
    <row r="813" spans="1:57" ht="14.2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row>
    <row r="814" spans="1:57" ht="14.2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row>
    <row r="815" spans="1:57" ht="14.2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row>
    <row r="816" spans="1:57" ht="14.2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row>
    <row r="817" spans="1:57" ht="14.2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row>
    <row r="818" spans="1:57" ht="14.2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row>
    <row r="819" spans="1:57" ht="14.2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row>
    <row r="820" spans="1:57" ht="14.2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row>
    <row r="821" spans="1:57" ht="14.2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row>
    <row r="822" spans="1:57" ht="14.2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row>
    <row r="823" spans="1:57" ht="14.2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row>
    <row r="824" spans="1:57" ht="14.2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row>
    <row r="825" spans="1:57" ht="14.2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row>
    <row r="826" spans="1:57" ht="14.2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row>
    <row r="827" spans="1:57" ht="14.2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row>
    <row r="828" spans="1:57" ht="14.2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row>
    <row r="829" spans="1:57" ht="14.2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row>
    <row r="830" spans="1:57" ht="14.2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row>
    <row r="831" spans="1:57" ht="14.2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row>
    <row r="832" spans="1:57" ht="14.2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row>
    <row r="833" spans="1:57" ht="14.2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row>
    <row r="834" spans="1:57" ht="14.2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row>
    <row r="835" spans="1:57" ht="14.2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row>
    <row r="836" spans="1:57" ht="14.2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row>
    <row r="837" spans="1:57" ht="14.2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row>
    <row r="838" spans="1:57" ht="14.2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row>
    <row r="839" spans="1:57" ht="14.2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row>
    <row r="840" spans="1:57" ht="14.2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row>
    <row r="841" spans="1:57" ht="14.2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row>
    <row r="842" spans="1:57" ht="14.2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row>
    <row r="843" spans="1:57" ht="14.2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row>
    <row r="844" spans="1:57" ht="14.2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row>
    <row r="845" spans="1:57" ht="14.2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row>
    <row r="846" spans="1:57" ht="14.2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row>
    <row r="847" spans="1:57" ht="14.2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row>
    <row r="848" spans="1:57" ht="14.2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row>
    <row r="849" spans="1:57" ht="14.2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row>
    <row r="850" spans="1:57" ht="14.2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row>
    <row r="851" spans="1:57" ht="14.2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row>
    <row r="852" spans="1:57" ht="14.2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row>
    <row r="853" spans="1:57" ht="14.2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row>
    <row r="854" spans="1:57" ht="14.2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row>
    <row r="855" spans="1:57" ht="14.2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row>
    <row r="856" spans="1:57" ht="14.2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row>
    <row r="857" spans="1:57" ht="14.2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row>
    <row r="858" spans="1:57" ht="14.2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row>
    <row r="859" spans="1:57" ht="14.2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row>
    <row r="860" spans="1:57" ht="14.2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row>
    <row r="861" spans="1:57" ht="14.2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row>
    <row r="862" spans="1:57" ht="14.2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row>
    <row r="863" spans="1:57" ht="14.2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row>
    <row r="864" spans="1:57" ht="14.2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row>
    <row r="865" spans="1:57" ht="14.2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row>
    <row r="866" spans="1:57" ht="14.2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row>
    <row r="867" spans="1:57" ht="14.2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row>
    <row r="868" spans="1:57" ht="14.2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row>
    <row r="869" spans="1:57" ht="14.2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row>
    <row r="870" spans="1:57" ht="14.2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row>
    <row r="871" spans="1:57" ht="14.2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row>
    <row r="872" spans="1:57" ht="14.2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row>
    <row r="873" spans="1:57" ht="14.2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row>
    <row r="874" spans="1:57" ht="14.2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row>
    <row r="875" spans="1:57" ht="14.2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row>
    <row r="876" spans="1:57" ht="14.2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row>
    <row r="877" spans="1:57" ht="14.2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row>
    <row r="878" spans="1:57" ht="14.2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row>
    <row r="879" spans="1:57" ht="14.2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row>
    <row r="880" spans="1:57" ht="14.2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row>
    <row r="881" spans="1:57" ht="14.2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row>
    <row r="882" spans="1:57" ht="14.2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row>
    <row r="883" spans="1:57" ht="14.2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row>
    <row r="884" spans="1:57" ht="14.2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row>
    <row r="885" spans="1:57" ht="14.2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row>
    <row r="886" spans="1:57" ht="14.2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row>
    <row r="887" spans="1:57" ht="14.2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row>
    <row r="888" spans="1:57" ht="14.2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row>
    <row r="889" spans="1:57" ht="14.2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row>
    <row r="890" spans="1:57" ht="14.2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row>
    <row r="891" spans="1:57" ht="14.2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row>
    <row r="892" spans="1:57" ht="14.2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row>
    <row r="893" spans="1:57" ht="14.2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row>
    <row r="894" spans="1:57" ht="14.2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row>
    <row r="895" spans="1:57" ht="14.2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row>
    <row r="896" spans="1:57" ht="14.2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row>
    <row r="897" spans="1:57" ht="14.2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row>
    <row r="898" spans="1:57" ht="14.2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row>
    <row r="899" spans="1:57" ht="14.2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row>
    <row r="900" spans="1:57" ht="14.2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row>
    <row r="901" spans="1:57" ht="14.2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row>
    <row r="902" spans="1:57" ht="14.2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row>
    <row r="903" spans="1:57" ht="14.2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row>
    <row r="904" spans="1:57" ht="14.2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row>
    <row r="905" spans="1:57" ht="14.2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row>
    <row r="906" spans="1:57" ht="14.2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row>
    <row r="907" spans="1:57" ht="14.2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row>
    <row r="908" spans="1:57" ht="14.2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row>
    <row r="909" spans="1:57" ht="14.2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row>
    <row r="910" spans="1:57" ht="14.2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row>
    <row r="911" spans="1:57" ht="14.2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row>
    <row r="912" spans="1:57" ht="14.2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row>
    <row r="913" spans="1:57" ht="14.2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row>
    <row r="914" spans="1:57" ht="14.2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row>
    <row r="915" spans="1:57" ht="14.2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row>
    <row r="916" spans="1:57" ht="14.2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row>
    <row r="917" spans="1:57" ht="14.2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row>
    <row r="918" spans="1:57" ht="14.2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row>
    <row r="919" spans="1:57" ht="14.2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row>
    <row r="920" spans="1:57" ht="14.2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row>
    <row r="921" spans="1:57" ht="14.2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row>
    <row r="922" spans="1:57" ht="14.2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row>
    <row r="923" spans="1:57" ht="14.2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row>
    <row r="924" spans="1:57" ht="14.2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row>
    <row r="925" spans="1:57" ht="14.2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row>
    <row r="926" spans="1:57" ht="14.2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row>
    <row r="927" spans="1:57" ht="14.2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row>
    <row r="928" spans="1:57" ht="14.2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row>
    <row r="929" spans="1:57" ht="14.2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row>
    <row r="930" spans="1:57" ht="14.2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row>
    <row r="931" spans="1:57" ht="14.2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row>
    <row r="932" spans="1:57" ht="14.2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row>
    <row r="933" spans="1:57" ht="14.2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row>
    <row r="934" spans="1:57" ht="14.2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row>
    <row r="935" spans="1:57" ht="14.2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row>
    <row r="936" spans="1:57" ht="14.2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row>
    <row r="937" spans="1:57" ht="14.2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row>
    <row r="938" spans="1:57" ht="14.2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row>
    <row r="939" spans="1:57" ht="14.2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row>
    <row r="940" spans="1:57" ht="14.2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row>
    <row r="941" spans="1:57" ht="14.2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row>
    <row r="942" spans="1:57" ht="14.2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row>
    <row r="943" spans="1:57" ht="14.2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row>
    <row r="944" spans="1:57" ht="14.2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row>
    <row r="945" spans="1:57" ht="14.2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row>
    <row r="946" spans="1:57" ht="14.2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row>
    <row r="947" spans="1:57" ht="14.2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row>
    <row r="948" spans="1:57" ht="14.2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row>
    <row r="949" spans="1:57" ht="14.2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row>
    <row r="950" spans="1:57" ht="14.2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row>
    <row r="951" spans="1:57" ht="14.2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row>
    <row r="952" spans="1:57" ht="14.2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row>
    <row r="953" spans="1:57" ht="14.2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row>
    <row r="954" spans="1:57" ht="14.2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row>
    <row r="955" spans="1:57" ht="14.2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row>
    <row r="956" spans="1:57" ht="14.2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row>
    <row r="957" spans="1:57" ht="14.2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row>
    <row r="958" spans="1:57" ht="14.2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row>
    <row r="959" spans="1:57" ht="14.2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row>
    <row r="960" spans="1:57" ht="14.2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row>
    <row r="961" spans="1:57" ht="14.2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row>
    <row r="962" spans="1:57" ht="14.2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row>
    <row r="963" spans="1:57" ht="14.2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row>
    <row r="964" spans="1:57" ht="14.2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row>
    <row r="965" spans="1:57" ht="14.2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row>
    <row r="966" spans="1:57" ht="14.2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row>
    <row r="967" spans="1:57" ht="14.2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row>
    <row r="968" spans="1:57" ht="14.2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row>
    <row r="969" spans="1:57" ht="14.2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row>
    <row r="970" spans="1:57" ht="14.2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row>
    <row r="971" spans="1:57" ht="14.2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row>
    <row r="972" spans="1:57" ht="14.2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row>
    <row r="973" spans="1:57" ht="14.2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row>
    <row r="974" spans="1:57" ht="14.2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row>
    <row r="975" spans="1:57" ht="14.2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row>
    <row r="976" spans="1:57" ht="14.2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row>
    <row r="977" spans="1:57" ht="14.2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row>
    <row r="978" spans="1:57" ht="14.2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row>
    <row r="979" spans="1:57" ht="14.2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row>
    <row r="980" spans="1:57" ht="14.2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row>
    <row r="981" spans="1:57" ht="14.2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row>
    <row r="982" spans="1:57" ht="14.2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row>
    <row r="983" spans="1:57" ht="14.2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row>
    <row r="984" spans="1:57" ht="14.2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row>
    <row r="985" spans="1:57" ht="14.2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row>
    <row r="986" spans="1:57" ht="14.2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row>
    <row r="987" spans="1:57" ht="14.2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row>
    <row r="988" spans="1:57" ht="14.2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row>
    <row r="989" spans="1:57" ht="14.2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row>
    <row r="990" spans="1:57" ht="14.2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row>
    <row r="991" spans="1:57" ht="14.2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row>
    <row r="992" spans="1:57" ht="14.2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row>
    <row r="993" spans="1:57" ht="14.2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row>
    <row r="994" spans="1:57" ht="14.2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row>
    <row r="995" spans="1:57" ht="14.2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row>
    <row r="996" spans="1:57" ht="14.2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row>
    <row r="997" spans="1:57" ht="14.2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row>
    <row r="998" spans="1:57" ht="14.2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row>
    <row r="999" spans="1:57" ht="14.2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row>
    <row r="1000" spans="1:57" ht="14.2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row>
  </sheetData>
  <mergeCells count="308">
    <mergeCell ref="AX30:AY30"/>
    <mergeCell ref="AX31:AY31"/>
    <mergeCell ref="AX32:AY33"/>
    <mergeCell ref="AX34:AY34"/>
    <mergeCell ref="AX35:AY35"/>
    <mergeCell ref="AX36:AY36"/>
    <mergeCell ref="AX37:AY37"/>
    <mergeCell ref="AX38:AY38"/>
    <mergeCell ref="AX39:AY39"/>
    <mergeCell ref="AR34:AS34"/>
    <mergeCell ref="AR35:AS35"/>
    <mergeCell ref="AR36:AS36"/>
    <mergeCell ref="AR37:AS37"/>
    <mergeCell ref="AR38:AS38"/>
    <mergeCell ref="AR39:AS39"/>
    <mergeCell ref="AX13:AY13"/>
    <mergeCell ref="AX14:AY14"/>
    <mergeCell ref="AX15:AY15"/>
    <mergeCell ref="AX16:AY16"/>
    <mergeCell ref="AX17:AY17"/>
    <mergeCell ref="AX18:AY18"/>
    <mergeCell ref="AX19:AY19"/>
    <mergeCell ref="AX20:AY20"/>
    <mergeCell ref="AX21:AY21"/>
    <mergeCell ref="AX22:AY22"/>
    <mergeCell ref="AX23:AY23"/>
    <mergeCell ref="AX24:AY24"/>
    <mergeCell ref="AX25:AY25"/>
    <mergeCell ref="AX26:AY26"/>
    <mergeCell ref="AX27:AY28"/>
    <mergeCell ref="AX29:AY29"/>
    <mergeCell ref="AL36:AM36"/>
    <mergeCell ref="AL37:AM37"/>
    <mergeCell ref="AL38:AM38"/>
    <mergeCell ref="AL39:AM39"/>
    <mergeCell ref="AR13:AS13"/>
    <mergeCell ref="AR14:AS14"/>
    <mergeCell ref="AR15:AS15"/>
    <mergeCell ref="AR16:AS16"/>
    <mergeCell ref="AR17:AS17"/>
    <mergeCell ref="AR18:AS18"/>
    <mergeCell ref="AR19:AS19"/>
    <mergeCell ref="AR20:AS20"/>
    <mergeCell ref="AR21:AS21"/>
    <mergeCell ref="AR22:AS22"/>
    <mergeCell ref="AR23:AS23"/>
    <mergeCell ref="AR24:AS24"/>
    <mergeCell ref="AR25:AS25"/>
    <mergeCell ref="AR26:AS26"/>
    <mergeCell ref="AR27:AS28"/>
    <mergeCell ref="AR29:AS29"/>
    <mergeCell ref="AR30:AS30"/>
    <mergeCell ref="AR31:AS31"/>
    <mergeCell ref="AL13:AM13"/>
    <mergeCell ref="AL14:AM14"/>
    <mergeCell ref="AL15:AM15"/>
    <mergeCell ref="AL16:AM16"/>
    <mergeCell ref="AL17:AM17"/>
    <mergeCell ref="AL18:AM18"/>
    <mergeCell ref="AL19:AM19"/>
    <mergeCell ref="AL20:AM20"/>
    <mergeCell ref="AL21:AM21"/>
    <mergeCell ref="AL22:AM22"/>
    <mergeCell ref="AL23:AM23"/>
    <mergeCell ref="AL24:AM24"/>
    <mergeCell ref="AL25:AM25"/>
    <mergeCell ref="AL26:AM26"/>
    <mergeCell ref="AL27:AM28"/>
    <mergeCell ref="AL29:AM29"/>
    <mergeCell ref="AL30:AM30"/>
    <mergeCell ref="AL31:AM31"/>
    <mergeCell ref="AL32:AM33"/>
    <mergeCell ref="AL34:AM34"/>
    <mergeCell ref="AL35:AM35"/>
    <mergeCell ref="Q50:X50"/>
    <mergeCell ref="Q51:X51"/>
    <mergeCell ref="Q52:X52"/>
    <mergeCell ref="U35:V35"/>
    <mergeCell ref="W35:X35"/>
    <mergeCell ref="U22:V22"/>
    <mergeCell ref="W22:X22"/>
    <mergeCell ref="U23:V23"/>
    <mergeCell ref="W23:X23"/>
    <mergeCell ref="Q24:X24"/>
    <mergeCell ref="Q25:X25"/>
    <mergeCell ref="Q26:X26"/>
    <mergeCell ref="U36:V36"/>
    <mergeCell ref="U37:V37"/>
    <mergeCell ref="U38:V38"/>
    <mergeCell ref="U39:V39"/>
    <mergeCell ref="U40:V40"/>
    <mergeCell ref="U41:V41"/>
    <mergeCell ref="U42:V42"/>
    <mergeCell ref="U43:V43"/>
    <mergeCell ref="U44:V44"/>
    <mergeCell ref="U45:V45"/>
    <mergeCell ref="U46:V46"/>
    <mergeCell ref="U47:V47"/>
    <mergeCell ref="W42:X42"/>
    <mergeCell ref="W41:X41"/>
    <mergeCell ref="W40:X40"/>
    <mergeCell ref="W39:X39"/>
    <mergeCell ref="W38:X38"/>
    <mergeCell ref="W37:X37"/>
    <mergeCell ref="W36:X36"/>
    <mergeCell ref="S29:U29"/>
    <mergeCell ref="V29:W29"/>
    <mergeCell ref="S34:X34"/>
    <mergeCell ref="U48:V48"/>
    <mergeCell ref="U49:V49"/>
    <mergeCell ref="W49:X49"/>
    <mergeCell ref="W48:X48"/>
    <mergeCell ref="W47:X47"/>
    <mergeCell ref="W46:X46"/>
    <mergeCell ref="W45:X45"/>
    <mergeCell ref="W44:X44"/>
    <mergeCell ref="W43:X43"/>
    <mergeCell ref="AH32:AH33"/>
    <mergeCell ref="AI32:AI33"/>
    <mergeCell ref="AJ32:AJ33"/>
    <mergeCell ref="AK32:AK33"/>
    <mergeCell ref="AN32:AN33"/>
    <mergeCell ref="AR32:AS33"/>
    <mergeCell ref="AT27:AT28"/>
    <mergeCell ref="AU27:AU28"/>
    <mergeCell ref="AV27:AV28"/>
    <mergeCell ref="AW27:AW28"/>
    <mergeCell ref="AK27:AK28"/>
    <mergeCell ref="AN27:AN28"/>
    <mergeCell ref="AO27:AO28"/>
    <mergeCell ref="AP27:AP28"/>
    <mergeCell ref="AQ27:AQ28"/>
    <mergeCell ref="AE20:AF20"/>
    <mergeCell ref="AE21:AF21"/>
    <mergeCell ref="AE22:AF22"/>
    <mergeCell ref="AE23:AF23"/>
    <mergeCell ref="AE24:AF24"/>
    <mergeCell ref="AE25:AF25"/>
    <mergeCell ref="AE26:AF26"/>
    <mergeCell ref="AE27:AF28"/>
    <mergeCell ref="U19:V19"/>
    <mergeCell ref="W19:X19"/>
    <mergeCell ref="AE19:AF19"/>
    <mergeCell ref="U20:V20"/>
    <mergeCell ref="W20:X20"/>
    <mergeCell ref="U21:V21"/>
    <mergeCell ref="W21:X21"/>
    <mergeCell ref="AE14:AF14"/>
    <mergeCell ref="AE15:AF15"/>
    <mergeCell ref="U13:V13"/>
    <mergeCell ref="W13:X13"/>
    <mergeCell ref="AE13:AF13"/>
    <mergeCell ref="U14:V14"/>
    <mergeCell ref="W14:X14"/>
    <mergeCell ref="U15:V15"/>
    <mergeCell ref="W15:X15"/>
    <mergeCell ref="AK43:AS43"/>
    <mergeCell ref="AK44:AS44"/>
    <mergeCell ref="AU44:AY44"/>
    <mergeCell ref="AK45:AS45"/>
    <mergeCell ref="AU45:AY45"/>
    <mergeCell ref="AH46:AY51"/>
    <mergeCell ref="AH52:AY53"/>
    <mergeCell ref="AK40:AS40"/>
    <mergeCell ref="AU40:AY40"/>
    <mergeCell ref="AK41:AS41"/>
    <mergeCell ref="AU41:AY41"/>
    <mergeCell ref="AK42:AS42"/>
    <mergeCell ref="AU42:AY42"/>
    <mergeCell ref="AU43:AY43"/>
    <mergeCell ref="AV32:AV33"/>
    <mergeCell ref="AW32:AW33"/>
    <mergeCell ref="AO32:AO33"/>
    <mergeCell ref="AP32:AP33"/>
    <mergeCell ref="AQ32:AQ33"/>
    <mergeCell ref="AT32:AT33"/>
    <mergeCell ref="AU32:AU33"/>
    <mergeCell ref="AE48:AF48"/>
    <mergeCell ref="AE49:AF49"/>
    <mergeCell ref="AE50:AF50"/>
    <mergeCell ref="Z51:AF53"/>
    <mergeCell ref="AE40:AF40"/>
    <mergeCell ref="AE41:AF41"/>
    <mergeCell ref="AE42:AF42"/>
    <mergeCell ref="AE43:AF43"/>
    <mergeCell ref="AE44:AF44"/>
    <mergeCell ref="AE45:AF45"/>
    <mergeCell ref="AE46:AF46"/>
    <mergeCell ref="AH45:AJ45"/>
    <mergeCell ref="AE34:AF34"/>
    <mergeCell ref="AE35:AF35"/>
    <mergeCell ref="AE36:AF36"/>
    <mergeCell ref="AE37:AF37"/>
    <mergeCell ref="AE38:AF38"/>
    <mergeCell ref="AE39:AF39"/>
    <mergeCell ref="AH40:AJ40"/>
    <mergeCell ref="AE47:AF47"/>
    <mergeCell ref="Z30:AC30"/>
    <mergeCell ref="AE30:AF30"/>
    <mergeCell ref="Z31:AC32"/>
    <mergeCell ref="AD31:AD32"/>
    <mergeCell ref="AE31:AF32"/>
    <mergeCell ref="AH41:AJ41"/>
    <mergeCell ref="AH42:AJ42"/>
    <mergeCell ref="AH43:AJ43"/>
    <mergeCell ref="AH44:AJ44"/>
    <mergeCell ref="Z25:AC25"/>
    <mergeCell ref="Z26:AC26"/>
    <mergeCell ref="Z27:AC28"/>
    <mergeCell ref="AD27:AD28"/>
    <mergeCell ref="AH27:AH28"/>
    <mergeCell ref="AI27:AI28"/>
    <mergeCell ref="AJ27:AJ28"/>
    <mergeCell ref="Z29:AC29"/>
    <mergeCell ref="AE29:AF29"/>
    <mergeCell ref="AE17:AF17"/>
    <mergeCell ref="AE18:AF18"/>
    <mergeCell ref="U16:V16"/>
    <mergeCell ref="W16:X16"/>
    <mergeCell ref="AE16:AF16"/>
    <mergeCell ref="U17:V17"/>
    <mergeCell ref="W17:X17"/>
    <mergeCell ref="U18:V18"/>
    <mergeCell ref="W18:X18"/>
    <mergeCell ref="AR12:AS12"/>
    <mergeCell ref="AX12:AY12"/>
    <mergeCell ref="W10:X10"/>
    <mergeCell ref="U11:V11"/>
    <mergeCell ref="W11:X11"/>
    <mergeCell ref="U12:V12"/>
    <mergeCell ref="W12:X12"/>
    <mergeCell ref="AE12:AF12"/>
    <mergeCell ref="AL12:AM12"/>
    <mergeCell ref="S8:X8"/>
    <mergeCell ref="AE8:AF8"/>
    <mergeCell ref="AH8:AM8"/>
    <mergeCell ref="AN8:AP8"/>
    <mergeCell ref="AQ8:AV8"/>
    <mergeCell ref="AW8:AY8"/>
    <mergeCell ref="AQ10:AV10"/>
    <mergeCell ref="AW10:AY10"/>
    <mergeCell ref="C8:O8"/>
    <mergeCell ref="C9:O9"/>
    <mergeCell ref="W9:X9"/>
    <mergeCell ref="AH9:AM9"/>
    <mergeCell ref="AN9:AP9"/>
    <mergeCell ref="C10:O10"/>
    <mergeCell ref="C50:O50"/>
    <mergeCell ref="C51:O51"/>
    <mergeCell ref="C52:O52"/>
    <mergeCell ref="C43:O43"/>
    <mergeCell ref="C44:O44"/>
    <mergeCell ref="C45:O45"/>
    <mergeCell ref="C46:O46"/>
    <mergeCell ref="C47:O47"/>
    <mergeCell ref="C48:O48"/>
    <mergeCell ref="C49:O49"/>
    <mergeCell ref="C34:O34"/>
    <mergeCell ref="C35:O35"/>
    <mergeCell ref="C36:O36"/>
    <mergeCell ref="C37:O37"/>
    <mergeCell ref="C38:O38"/>
    <mergeCell ref="C39:O39"/>
    <mergeCell ref="C40:O40"/>
    <mergeCell ref="C41:O41"/>
    <mergeCell ref="C42:O42"/>
    <mergeCell ref="C21:O21"/>
    <mergeCell ref="C22:O22"/>
    <mergeCell ref="C23:O23"/>
    <mergeCell ref="C24:O24"/>
    <mergeCell ref="C25:O25"/>
    <mergeCell ref="C26:O26"/>
    <mergeCell ref="C29:Q29"/>
    <mergeCell ref="B31:F31"/>
    <mergeCell ref="B32:G32"/>
    <mergeCell ref="C12:O12"/>
    <mergeCell ref="C13:O13"/>
    <mergeCell ref="C14:O14"/>
    <mergeCell ref="C15:O15"/>
    <mergeCell ref="C16:O16"/>
    <mergeCell ref="C17:O17"/>
    <mergeCell ref="C18:O18"/>
    <mergeCell ref="C19:O19"/>
    <mergeCell ref="C20:O20"/>
    <mergeCell ref="AQ9:AV9"/>
    <mergeCell ref="AW9:AY9"/>
    <mergeCell ref="U9:V9"/>
    <mergeCell ref="U10:V10"/>
    <mergeCell ref="AE9:AF9"/>
    <mergeCell ref="AE10:AF10"/>
    <mergeCell ref="AH10:AM10"/>
    <mergeCell ref="AN10:AP10"/>
    <mergeCell ref="C11:O11"/>
    <mergeCell ref="AE11:AF11"/>
    <mergeCell ref="AQ2:AY4"/>
    <mergeCell ref="BB4:BD5"/>
    <mergeCell ref="AQ5:AY6"/>
    <mergeCell ref="AI4:AP4"/>
    <mergeCell ref="AI5:AK5"/>
    <mergeCell ref="AL5:AM5"/>
    <mergeCell ref="C3:Q3"/>
    <mergeCell ref="S3:U3"/>
    <mergeCell ref="V3:W3"/>
    <mergeCell ref="Z3:AC5"/>
    <mergeCell ref="AH3:AJ3"/>
    <mergeCell ref="AK3:AP3"/>
    <mergeCell ref="B5:F5"/>
    <mergeCell ref="B6:G6"/>
  </mergeCells>
  <dataValidations count="1">
    <dataValidation type="list" allowBlank="1" showErrorMessage="1" sqref="C29">
      <formula1>$I$2:$I$10</formula1>
    </dataValidation>
  </dataValidations>
  <printOptions horizontalCentered="1" verticalCentered="1"/>
  <pageMargins left="0" right="0" top="0" bottom="0" header="0" footer="0"/>
  <pageSetup paperSize="9" orientation="landscape"/>
  <colBreaks count="1" manualBreakCount="1">
    <brk id="52" man="1"/>
  </colBreaks>
  <drawing r:id="rId1"/>
  <extLst>
    <ext xmlns:x14="http://schemas.microsoft.com/office/spreadsheetml/2009/9/main" uri="{CCE6A557-97BC-4b89-ADB6-D9C93CAAB3DF}">
      <x14:dataValidations xmlns:xm="http://schemas.microsoft.com/office/excel/2006/main" count="5">
        <x14:dataValidation type="list" allowBlank="1" showErrorMessage="1">
          <x14:formula1>
            <xm:f>'BD Joueurs Licence'!$I$2:$I$10</xm:f>
          </x14:formula1>
          <xm:sqref>C3</xm:sqref>
        </x14:dataValidation>
        <x14:dataValidation type="list" allowBlank="1" showErrorMessage="1">
          <x14:formula1>
            <xm:f>'BD Joueurs Licence'!$B$3:$B$17</xm:f>
          </x14:formula1>
          <xm:sqref>C9:C23</xm:sqref>
        </x14:dataValidation>
        <x14:dataValidation type="list" allowBlank="1" showErrorMessage="1">
          <x14:formula1>
            <xm:f>'BD Joueurs Licence'!$E$3:$E$17</xm:f>
          </x14:formula1>
          <xm:sqref>C35:C49</xm:sqref>
        </x14:dataValidation>
        <x14:dataValidation type="list" allowBlank="1" showErrorMessage="1">
          <x14:formula1>
            <xm:f>'BD Joueurs Licence'!$M$2:$M$6</xm:f>
          </x14:formula1>
          <xm:sqref>AI4</xm:sqref>
        </x14:dataValidation>
        <x14:dataValidation type="list" allowBlank="1" showErrorMessage="1">
          <x14:formula1>
            <xm:f>'BD Joueurs Licence'!$K$2:$K$3</xm:f>
          </x14:formula1>
          <xm:sqref>AK3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M1000"/>
  <sheetViews>
    <sheetView workbookViewId="0"/>
  </sheetViews>
  <sheetFormatPr baseColWidth="10" defaultColWidth="14.42578125" defaultRowHeight="15" customHeight="1"/>
  <cols>
    <col min="1" max="1" width="3" customWidth="1"/>
    <col min="2" max="2" width="19.42578125" customWidth="1"/>
    <col min="3" max="3" width="14.5703125" customWidth="1"/>
    <col min="4" max="4" width="9.85546875" customWidth="1"/>
    <col min="5" max="5" width="29" customWidth="1"/>
    <col min="6" max="6" width="13.28515625" customWidth="1"/>
    <col min="7" max="8" width="9.140625" customWidth="1"/>
    <col min="9" max="9" width="38.85546875" customWidth="1"/>
    <col min="10" max="10" width="9.140625" customWidth="1"/>
    <col min="11" max="11" width="34" customWidth="1"/>
    <col min="12" max="12" width="9.140625" customWidth="1"/>
    <col min="13" max="13" width="21.85546875" customWidth="1"/>
    <col min="14" max="26" width="9.140625" customWidth="1"/>
  </cols>
  <sheetData>
    <row r="1" spans="1:13">
      <c r="A1" s="54"/>
      <c r="B1" s="144" t="s">
        <v>53</v>
      </c>
      <c r="C1" s="64"/>
      <c r="D1" s="64"/>
      <c r="E1" s="144" t="s">
        <v>54</v>
      </c>
      <c r="F1" s="64"/>
      <c r="G1" s="55"/>
      <c r="I1" s="54" t="s">
        <v>55</v>
      </c>
      <c r="K1" s="56" t="s">
        <v>56</v>
      </c>
      <c r="M1" s="56" t="s">
        <v>57</v>
      </c>
    </row>
    <row r="2" spans="1:13">
      <c r="A2" s="57"/>
      <c r="B2" s="58" t="s">
        <v>58</v>
      </c>
      <c r="C2" s="58" t="s">
        <v>59</v>
      </c>
      <c r="D2" s="58" t="s">
        <v>60</v>
      </c>
      <c r="E2" s="58" t="s">
        <v>58</v>
      </c>
      <c r="F2" s="58" t="s">
        <v>59</v>
      </c>
      <c r="G2" s="59" t="s">
        <v>60</v>
      </c>
      <c r="I2" s="57" t="s">
        <v>61</v>
      </c>
      <c r="K2" s="56" t="s">
        <v>62</v>
      </c>
      <c r="M2" s="56" t="s">
        <v>7</v>
      </c>
    </row>
    <row r="3" spans="1:13">
      <c r="A3" s="57">
        <v>1</v>
      </c>
      <c r="B3" s="58" t="s">
        <v>63</v>
      </c>
      <c r="C3" s="58">
        <v>100</v>
      </c>
      <c r="D3" s="58">
        <v>1975</v>
      </c>
      <c r="E3" s="58" t="s">
        <v>64</v>
      </c>
      <c r="F3" s="58">
        <v>1000</v>
      </c>
      <c r="G3" s="59">
        <v>1990</v>
      </c>
      <c r="I3" s="57" t="s">
        <v>65</v>
      </c>
      <c r="K3" s="56" t="s">
        <v>66</v>
      </c>
      <c r="M3" s="56" t="s">
        <v>67</v>
      </c>
    </row>
    <row r="4" spans="1:13">
      <c r="A4" s="57">
        <v>2</v>
      </c>
      <c r="B4" s="58" t="s">
        <v>68</v>
      </c>
      <c r="C4" s="58">
        <v>200</v>
      </c>
      <c r="D4" s="58">
        <v>1976</v>
      </c>
      <c r="E4" s="58" t="s">
        <v>69</v>
      </c>
      <c r="F4" s="58">
        <v>2000</v>
      </c>
      <c r="G4" s="59">
        <v>1991</v>
      </c>
      <c r="I4" s="57" t="s">
        <v>70</v>
      </c>
      <c r="M4" s="56" t="s">
        <v>71</v>
      </c>
    </row>
    <row r="5" spans="1:13">
      <c r="A5" s="57">
        <v>3</v>
      </c>
      <c r="B5" s="58" t="s">
        <v>72</v>
      </c>
      <c r="C5" s="58">
        <v>300</v>
      </c>
      <c r="D5" s="58">
        <v>1977</v>
      </c>
      <c r="E5" s="58" t="s">
        <v>73</v>
      </c>
      <c r="F5" s="58">
        <v>3000</v>
      </c>
      <c r="G5" s="59">
        <v>1992</v>
      </c>
      <c r="I5" s="57" t="s">
        <v>74</v>
      </c>
      <c r="M5" s="56" t="s">
        <v>75</v>
      </c>
    </row>
    <row r="6" spans="1:13">
      <c r="A6" s="57">
        <v>4</v>
      </c>
      <c r="B6" s="58" t="s">
        <v>76</v>
      </c>
      <c r="C6" s="58">
        <v>400</v>
      </c>
      <c r="D6" s="58">
        <v>1978</v>
      </c>
      <c r="E6" s="58" t="s">
        <v>77</v>
      </c>
      <c r="F6" s="58">
        <v>4000</v>
      </c>
      <c r="G6" s="59">
        <v>1993</v>
      </c>
      <c r="I6" s="57" t="s">
        <v>78</v>
      </c>
      <c r="M6" s="56" t="s">
        <v>79</v>
      </c>
    </row>
    <row r="7" spans="1:13">
      <c r="A7" s="57">
        <v>5</v>
      </c>
      <c r="B7" s="58" t="s">
        <v>80</v>
      </c>
      <c r="C7" s="58">
        <v>500</v>
      </c>
      <c r="D7" s="58">
        <v>1979</v>
      </c>
      <c r="E7" s="58" t="s">
        <v>81</v>
      </c>
      <c r="F7" s="58">
        <v>5000</v>
      </c>
      <c r="G7" s="59">
        <v>1994</v>
      </c>
      <c r="I7" s="57" t="s">
        <v>82</v>
      </c>
    </row>
    <row r="8" spans="1:13">
      <c r="A8" s="57">
        <v>6</v>
      </c>
      <c r="B8" s="58" t="s">
        <v>83</v>
      </c>
      <c r="C8" s="58">
        <v>600</v>
      </c>
      <c r="D8" s="58">
        <v>1980</v>
      </c>
      <c r="E8" s="58" t="s">
        <v>84</v>
      </c>
      <c r="F8" s="58">
        <v>6000</v>
      </c>
      <c r="G8" s="59">
        <v>1995</v>
      </c>
      <c r="I8" s="57" t="s">
        <v>85</v>
      </c>
    </row>
    <row r="9" spans="1:13">
      <c r="A9" s="57">
        <v>7</v>
      </c>
      <c r="B9" s="58" t="s">
        <v>86</v>
      </c>
      <c r="C9" s="58">
        <v>700</v>
      </c>
      <c r="D9" s="58">
        <v>1981</v>
      </c>
      <c r="E9" s="58" t="s">
        <v>87</v>
      </c>
      <c r="F9" s="58">
        <v>7000</v>
      </c>
      <c r="G9" s="59">
        <v>1996</v>
      </c>
      <c r="I9" s="60" t="s">
        <v>88</v>
      </c>
    </row>
    <row r="10" spans="1:13">
      <c r="A10" s="57">
        <v>8</v>
      </c>
      <c r="B10" s="58" t="s">
        <v>89</v>
      </c>
      <c r="C10" s="58">
        <v>800</v>
      </c>
      <c r="D10" s="58">
        <v>1982</v>
      </c>
      <c r="E10" s="58" t="s">
        <v>90</v>
      </c>
      <c r="F10" s="58">
        <v>8000</v>
      </c>
      <c r="G10" s="59">
        <v>1997</v>
      </c>
    </row>
    <row r="11" spans="1:13">
      <c r="A11" s="57">
        <v>9</v>
      </c>
      <c r="B11" s="58" t="s">
        <v>91</v>
      </c>
      <c r="C11" s="58">
        <v>900</v>
      </c>
      <c r="D11" s="58">
        <v>1983</v>
      </c>
      <c r="E11" s="58" t="s">
        <v>92</v>
      </c>
      <c r="F11" s="58">
        <v>9000</v>
      </c>
      <c r="G11" s="59">
        <v>1998</v>
      </c>
    </row>
    <row r="12" spans="1:13">
      <c r="A12" s="57">
        <v>10</v>
      </c>
      <c r="B12" s="58" t="s">
        <v>93</v>
      </c>
      <c r="C12" s="58">
        <v>1000</v>
      </c>
      <c r="D12" s="58">
        <v>1984</v>
      </c>
      <c r="E12" s="58" t="s">
        <v>94</v>
      </c>
      <c r="F12" s="58">
        <v>10000</v>
      </c>
      <c r="G12" s="59">
        <v>1999</v>
      </c>
    </row>
    <row r="13" spans="1:13">
      <c r="A13" s="57">
        <v>11</v>
      </c>
      <c r="B13" s="58" t="s">
        <v>95</v>
      </c>
      <c r="C13" s="58">
        <v>1100</v>
      </c>
      <c r="D13" s="58">
        <v>1985</v>
      </c>
      <c r="E13" s="58" t="s">
        <v>96</v>
      </c>
      <c r="F13" s="58">
        <v>11000</v>
      </c>
      <c r="G13" s="59">
        <v>2000</v>
      </c>
    </row>
    <row r="14" spans="1:13">
      <c r="A14" s="57">
        <v>12</v>
      </c>
      <c r="B14" s="58" t="s">
        <v>97</v>
      </c>
      <c r="C14" s="58">
        <v>1200</v>
      </c>
      <c r="D14" s="58">
        <v>1986</v>
      </c>
      <c r="E14" s="58" t="s">
        <v>98</v>
      </c>
      <c r="F14" s="58">
        <v>12000</v>
      </c>
      <c r="G14" s="59">
        <v>2001</v>
      </c>
    </row>
    <row r="15" spans="1:13">
      <c r="A15" s="57">
        <v>13</v>
      </c>
      <c r="B15" s="58" t="s">
        <v>99</v>
      </c>
      <c r="C15" s="58">
        <v>1300</v>
      </c>
      <c r="D15" s="58">
        <v>1987</v>
      </c>
      <c r="E15" s="58" t="s">
        <v>100</v>
      </c>
      <c r="F15" s="58">
        <v>13000</v>
      </c>
      <c r="G15" s="59">
        <v>2002</v>
      </c>
    </row>
    <row r="16" spans="1:13">
      <c r="A16" s="57">
        <v>14</v>
      </c>
      <c r="B16" s="58" t="s">
        <v>101</v>
      </c>
      <c r="C16" s="58">
        <v>1400</v>
      </c>
      <c r="D16" s="58">
        <v>1988</v>
      </c>
      <c r="E16" s="58" t="s">
        <v>102</v>
      </c>
      <c r="F16" s="58">
        <v>14000</v>
      </c>
      <c r="G16" s="59">
        <v>2003</v>
      </c>
    </row>
    <row r="17" spans="1:7">
      <c r="A17" s="60">
        <v>15</v>
      </c>
      <c r="B17" s="61" t="s">
        <v>103</v>
      </c>
      <c r="C17" s="61">
        <v>1500</v>
      </c>
      <c r="D17" s="61">
        <v>1989</v>
      </c>
      <c r="E17" s="61" t="s">
        <v>104</v>
      </c>
      <c r="F17" s="61">
        <v>15000</v>
      </c>
      <c r="G17" s="62">
        <v>2004</v>
      </c>
    </row>
    <row r="21" spans="1:7" ht="15.75" customHeight="1"/>
    <row r="22" spans="1:7" ht="15.75" customHeight="1"/>
    <row r="23" spans="1:7" ht="15.75" customHeight="1"/>
    <row r="24" spans="1:7" ht="15.75" customHeight="1"/>
    <row r="25" spans="1:7" ht="15.75" customHeight="1"/>
    <row r="26" spans="1:7" ht="15.75" customHeight="1"/>
    <row r="27" spans="1:7" ht="15.75" customHeight="1"/>
    <row r="28" spans="1:7" ht="15.75" customHeight="1"/>
    <row r="29" spans="1:7" ht="15.75" customHeight="1"/>
    <row r="30" spans="1:7" ht="15.75" customHeight="1"/>
    <row r="31" spans="1:7" ht="15.75" customHeight="1"/>
    <row r="32" spans="1:7"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B1:D1"/>
    <mergeCell ref="E1:F1"/>
  </mergeCell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Feuile de Match</vt:lpstr>
      <vt:lpstr>BD Joueurs Licence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belfquih-k</dc:creator>
  <cp:lastModifiedBy>belfquih-k</cp:lastModifiedBy>
  <dcterms:created xsi:type="dcterms:W3CDTF">2006-09-16T00:00:00Z</dcterms:created>
  <dcterms:modified xsi:type="dcterms:W3CDTF">2026-06-12T11:55:44Z</dcterms:modified>
</cp:coreProperties>
</file>